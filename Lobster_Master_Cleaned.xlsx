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tsackton/Documents/github_seafood_datasearch/"/>
    </mc:Choice>
  </mc:AlternateContent>
  <xr:revisionPtr revIDLastSave="0" documentId="13_ncr:9_{A9D177D4-B813-CF43-B783-5A39E24001E8}" xr6:coauthVersionLast="47" xr6:coauthVersionMax="47" xr10:uidLastSave="{00000000-0000-0000-0000-000000000000}"/>
  <bookViews>
    <workbookView xWindow="7760" yWindow="7020" windowWidth="41760" windowHeight="19080" activeTab="1" xr2:uid="{00000000-000D-0000-FFFF-FFFF00000000}"/>
  </bookViews>
  <sheets>
    <sheet name="Lobster_Master_Cleaned" sheetId="1" r:id="rId1"/>
    <sheet name="Sheet4" sheetId="4" r:id="rId2"/>
    <sheet name="Sheet3" sheetId="3" r:id="rId3"/>
    <sheet name="Sheet2" sheetId="2" r:id="rId4"/>
    <sheet name="Sheet5" sheetId="5" r:id="rId5"/>
    <sheet name="Sheet6" sheetId="6" r:id="rId6"/>
  </sheets>
  <definedNames>
    <definedName name="_xlchart.v1.0" hidden="1">Sheet4!$C$86:$C$241</definedName>
    <definedName name="_xlchart.v1.1" hidden="1">Sheet4!$D$86:$D$241</definedName>
    <definedName name="_xlchart.v1.10" hidden="1">Sheet4!$M$86:$M$241</definedName>
    <definedName name="_xlchart.v1.2" hidden="1">Sheet4!$E$86:$E$241</definedName>
    <definedName name="_xlchart.v1.3" hidden="1">Sheet4!$F$86:$F$241</definedName>
    <definedName name="_xlchart.v1.4" hidden="1">Sheet4!$G$86:$G$241</definedName>
    <definedName name="_xlchart.v1.5" hidden="1">Sheet4!$H$86:$H$241</definedName>
    <definedName name="_xlchart.v1.6" hidden="1">Sheet4!$I$86:$I$241</definedName>
    <definedName name="_xlchart.v1.7" hidden="1">Sheet4!$J$86:$J$241</definedName>
    <definedName name="_xlchart.v1.8" hidden="1">Sheet4!$K$86:$K$241</definedName>
    <definedName name="_xlchart.v1.9" hidden="1">Sheet4!$L$86:$L$241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4" l="1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86" i="4"/>
  <c r="T231" i="1"/>
  <c r="T232" i="1"/>
  <c r="T233" i="1"/>
  <c r="T234" i="1"/>
  <c r="T235" i="1"/>
  <c r="T236" i="1"/>
  <c r="T237" i="1"/>
  <c r="T238" i="1"/>
  <c r="T239" i="1"/>
  <c r="T240" i="1"/>
  <c r="T241" i="1"/>
  <c r="T230" i="1"/>
  <c r="J231" i="1"/>
  <c r="J232" i="1"/>
  <c r="J233" i="1"/>
  <c r="J234" i="1"/>
  <c r="J235" i="1"/>
  <c r="J236" i="1"/>
  <c r="J237" i="1"/>
  <c r="J238" i="1"/>
  <c r="J239" i="1"/>
  <c r="J240" i="1"/>
  <c r="J241" i="1"/>
  <c r="J230" i="1"/>
</calcChain>
</file>

<file path=xl/sharedStrings.xml><?xml version="1.0" encoding="utf-8"?>
<sst xmlns="http://schemas.openxmlformats.org/spreadsheetml/2006/main" count="325" uniqueCount="294">
  <si>
    <t>Date</t>
  </si>
  <si>
    <t>Year</t>
  </si>
  <si>
    <t>Month</t>
  </si>
  <si>
    <t>Quarter</t>
  </si>
  <si>
    <t>live_1_14</t>
  </si>
  <si>
    <t>tail_4_oz</t>
  </si>
  <si>
    <t>meat_ck_dry</t>
  </si>
  <si>
    <t>CA_Shore_Canner_CAD</t>
  </si>
  <si>
    <t>CA_Shore_Market_CAD</t>
  </si>
  <si>
    <t>Maine_shore_USD_LB</t>
  </si>
  <si>
    <t>CADUSD_EXCH</t>
  </si>
  <si>
    <t>USDEUR_EXCH</t>
  </si>
  <si>
    <t>USD_JPY_EXCH</t>
  </si>
  <si>
    <t>USD_CNY_EXCH</t>
  </si>
  <si>
    <t>CADEUR_EXCH</t>
  </si>
  <si>
    <t>CADJPY_EXCH</t>
  </si>
  <si>
    <t>CADCNY_EXCH</t>
  </si>
  <si>
    <t>Maine_Landing_LB</t>
  </si>
  <si>
    <t>Maine_Landings_Value_USD</t>
  </si>
  <si>
    <t>All_landings_USCA_MT</t>
  </si>
  <si>
    <t>CA_Landings_MT</t>
  </si>
  <si>
    <t>CA_Landings_Value_CAD</t>
  </si>
  <si>
    <t>Inventory_lbs</t>
  </si>
  <si>
    <t>Inventory_Capacity</t>
  </si>
  <si>
    <t>CA_Export_US_MT</t>
  </si>
  <si>
    <t>CA_Export_China_MT</t>
  </si>
  <si>
    <t>CA_Export_EU_MT</t>
  </si>
  <si>
    <t>CA_Export_Japan_And_Asia_MT</t>
  </si>
  <si>
    <t>CA_Export_Other_MT</t>
  </si>
  <si>
    <t>CA_Export_Total_MT</t>
  </si>
  <si>
    <t>CA_Export_US_CAD</t>
  </si>
  <si>
    <t>CA_Export_China_CAD</t>
  </si>
  <si>
    <t>CA_Export_EU_CAD</t>
  </si>
  <si>
    <t>CA_Export_Japan_CAD</t>
  </si>
  <si>
    <t>CA_Export_Other_CAD</t>
  </si>
  <si>
    <t>CA_Export_Total_CAD</t>
  </si>
  <si>
    <t>US_Export_China_MT</t>
  </si>
  <si>
    <t>US_Export_EU_MT</t>
  </si>
  <si>
    <t>US_Export_Japan_MT</t>
  </si>
  <si>
    <t>US_Export_CA_MT</t>
  </si>
  <si>
    <t>US_Export_Other_MT</t>
  </si>
  <si>
    <t>US_Export_Total_MT</t>
  </si>
  <si>
    <t>US_Export_China_USD</t>
  </si>
  <si>
    <t>US_Export_EU_USD</t>
  </si>
  <si>
    <t>US_Export_Japan_USD</t>
  </si>
  <si>
    <t>US_Export_CA_USD</t>
  </si>
  <si>
    <t>US_Export_Other_USD</t>
  </si>
  <si>
    <t>US_Export_Total_USD</t>
  </si>
  <si>
    <t>CA_Export_US_Price</t>
  </si>
  <si>
    <t>CA_Export_China_Price</t>
  </si>
  <si>
    <t>CA_Export_EU_Price</t>
  </si>
  <si>
    <t>CA_Export_Japan_Price</t>
  </si>
  <si>
    <t>CA_Export_Avg_Price</t>
  </si>
  <si>
    <t>US_Export_China_Price</t>
  </si>
  <si>
    <t>US_Export_EU_Price</t>
  </si>
  <si>
    <t>US_Export_Japan_Price</t>
  </si>
  <si>
    <t>US_Export_Canada_Price</t>
  </si>
  <si>
    <t>US_Export_Avg_Price</t>
  </si>
  <si>
    <t>CA_Export_US_Share</t>
  </si>
  <si>
    <t>CA_Export_China_Share</t>
  </si>
  <si>
    <t>CA_Export_EU_Share</t>
  </si>
  <si>
    <t>CA_Export_Japan_Share</t>
  </si>
  <si>
    <t>US_Export_China_Share</t>
  </si>
  <si>
    <t>US_Export_EU_Share</t>
  </si>
  <si>
    <t>US_Export_Japan_Share</t>
  </si>
  <si>
    <t>US_Export_CA_Share</t>
  </si>
  <si>
    <t>US_CA_Price_Diff_USD</t>
  </si>
  <si>
    <t>China_Premium_Over_US_CAD</t>
  </si>
  <si>
    <t>EU_Premium_Over_US_CAD</t>
  </si>
  <si>
    <t>Japan_Premium_Over_US_CAD</t>
  </si>
  <si>
    <t>Estimated_Inventory</t>
  </si>
  <si>
    <t>CA_Export_US_Meat_lbs</t>
  </si>
  <si>
    <t>CA_Meat_Value_USD</t>
  </si>
  <si>
    <t>CA_Export_US_Tail</t>
  </si>
  <si>
    <t>CA_Tail_Value_USD</t>
  </si>
  <si>
    <t>CA_Export_China_Fzn_Lbs</t>
  </si>
  <si>
    <t>CA_Export_China_USD</t>
  </si>
  <si>
    <t>CA_EU_Fzn_LB</t>
  </si>
  <si>
    <t>CA_FZ_EU_USD</t>
  </si>
  <si>
    <t>qb</t>
  </si>
  <si>
    <t>mt 2024</t>
  </si>
  <si>
    <t>nl</t>
  </si>
  <si>
    <t>US Exp Lbs</t>
  </si>
  <si>
    <t>CA_Brine_UU</t>
  </si>
  <si>
    <t>CA_Brine_EU_USD</t>
  </si>
  <si>
    <t>Total 'CA_Export_US_Meat_lbs' by 'Year' and 'Month'</t>
  </si>
  <si>
    <t>Sum of CA_Export_US_Meat_lbs</t>
  </si>
  <si>
    <t>Grand Total</t>
  </si>
  <si>
    <t>2005 Total</t>
  </si>
  <si>
    <t>2006 Total</t>
  </si>
  <si>
    <t>2007 Total</t>
  </si>
  <si>
    <t>2008 Total</t>
  </si>
  <si>
    <t>2009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</si>
  <si>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</si>
  <si>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</si>
  <si>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</si>
  <si>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</si>
  <si>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</si>
  <si>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</si>
  <si>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</si>
  <si>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</si>
  <si>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</si>
  <si>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</si>
  <si>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</si>
  <si>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</si>
  <si>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</si>
  <si>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</si>
  <si>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</si>
  <si>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2025 Total</t>
  </si>
  <si>
    <t>Sum of CA_Meat_Value_USD</t>
  </si>
  <si>
    <t>Sum of CA_Export_US_Tail</t>
  </si>
  <si>
    <t>Sum of CA_Tail_Value_USD</t>
  </si>
  <si>
    <t>Sum of CA_Export_China_Fzn_Lbs</t>
  </si>
  <si>
    <t>Sum of CA_Export_China_USD</t>
  </si>
  <si>
    <t>Sum of CA_EU_Fzn_LB</t>
  </si>
  <si>
    <t>Sum of CA_FZ_EU_USD</t>
  </si>
  <si>
    <t>Sum of CA_Brine_UU</t>
  </si>
  <si>
    <t>Sum of CA_Brine_EU_USD</t>
  </si>
  <si>
    <t>US_Meat_price</t>
  </si>
  <si>
    <t>US_meat_lbs</t>
  </si>
  <si>
    <t>US_tail_price</t>
  </si>
  <si>
    <t>US_tail_lb</t>
  </si>
  <si>
    <t>China_WC_price</t>
  </si>
  <si>
    <t>China_WC_lbs</t>
  </si>
  <si>
    <t>EU_Fzn_price</t>
  </si>
  <si>
    <t>EU_Fzn_lbs</t>
  </si>
  <si>
    <t>EU_Brine_Price</t>
  </si>
  <si>
    <t>EU_Brine_Lbs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</si>
  <si>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</si>
  <si>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</si>
  <si>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</si>
  <si>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</si>
  <si>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</si>
  <si>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</si>
  <si>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</si>
  <si>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</si>
  <si>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</si>
  <si>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</si>
  <si>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</si>
  <si>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</si>
  <si>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</si>
  <si>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</si>
  <si>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</si>
  <si>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</si>
  <si>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</si>
  <si>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</si>
  <si>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</si>
  <si>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</si>
  <si>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</si>
  <si>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</si>
  <si>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</si>
  <si>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</si>
  <si>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</si>
  <si>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</si>
  <si>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</si>
  <si>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</si>
  <si>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</si>
  <si>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</si>
  <si>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</si>
  <si>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</si>
  <si>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</si>
  <si>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</si>
  <si>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</si>
  <si>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</si>
  <si>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</si>
  <si>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</si>
  <si>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</si>
  <si>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</si>
  <si>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</si>
  <si>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</si>
  <si>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</si>
  <si>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</si>
  <si>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</si>
  <si>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</si>
  <si>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</si>
  <si>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</si>
  <si>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</si>
  <si>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</si>
  <si>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</si>
  <si>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</si>
  <si>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</si>
  <si>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</si>
  <si>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</si>
  <si>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</si>
  <si>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</si>
  <si>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</si>
  <si>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</si>
  <si>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</si>
  <si>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</si>
  <si>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</si>
  <si>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</si>
  <si>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</si>
  <si>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</si>
  <si>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</si>
  <si>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</si>
  <si>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</si>
  <si>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</si>
  <si>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</si>
  <si>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</si>
  <si>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</si>
  <si>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</si>
  <si>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</si>
  <si>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</si>
  <si>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</si>
  <si>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</si>
  <si>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</si>
  <si>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</si>
  <si>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</si>
  <si>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</si>
  <si>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</si>
  <si>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</si>
  <si>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</si>
  <si>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</si>
  <si>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</si>
  <si>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</si>
  <si>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</si>
  <si>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</si>
  <si>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</si>
  <si>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</si>
  <si>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</si>
  <si>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</si>
  <si>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</si>
  <si>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</si>
  <si>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</si>
  <si>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</si>
  <si>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</si>
  <si>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</si>
  <si>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</si>
  <si>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</si>
  <si>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</si>
  <si>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</si>
  <si>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</si>
  <si>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</si>
  <si>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</si>
  <si>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</si>
  <si>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</si>
  <si>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</si>
  <si>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</si>
  <si>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</si>
  <si>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</si>
  <si>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</si>
  <si>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</si>
  <si>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</si>
  <si>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</si>
  <si>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</si>
  <si>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</si>
  <si>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</si>
  <si>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</si>
  <si>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</si>
  <si>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</si>
  <si>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</si>
  <si>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</si>
  <si>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</si>
  <si>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</si>
  <si>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</si>
  <si>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</si>
  <si>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</si>
  <si>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</si>
  <si>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</si>
  <si>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</si>
  <si>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</si>
  <si>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</si>
  <si>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</si>
  <si>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</si>
  <si>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</si>
  <si>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</si>
  <si>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</si>
  <si>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</si>
  <si>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</si>
  <si>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</si>
  <si>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</si>
  <si>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</si>
  <si>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</si>
  <si>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</si>
  <si>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</si>
  <si>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</si>
  <si>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</si>
  <si>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</si>
  <si>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</si>
  <si>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</si>
  <si>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</si>
  <si>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</si>
  <si>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</si>
  <si>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</si>
  <si>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US_Meat</t>
  </si>
  <si>
    <t>US_Meat_Value</t>
  </si>
  <si>
    <t>US_Tail</t>
  </si>
  <si>
    <t>US_Tail_Value</t>
  </si>
  <si>
    <t>China_Fzn</t>
  </si>
  <si>
    <t>China_Fzn_Value USD</t>
  </si>
  <si>
    <t>EU_Fzn_LB</t>
  </si>
  <si>
    <t>EU_FZN_USD</t>
  </si>
  <si>
    <t>Brine_EU</t>
  </si>
  <si>
    <t>Brine_Value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</si>
</sst>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 applyNumberFormat="1"/>
    <xf numFmtId="0" fontId="0" fillId="0" borderId="0" xfId="0" pivotButton="1"/>
    <xf numFmtId="0" fontId="1" fillId="0" borderId="0" xfId="0" applyFont="1"/>
    <xf numFmtId="0" fontId="1" fillId="0" borderId="3" xfId="0" applyFont="1" applyBorder="1"/>
    <xf numFmtId="0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Sackton" refreshedDate="45728.683094560183" createdVersion="8" refreshedVersion="8" minRefreshableVersion="3" recordCount="242" xr:uid="{5F1C50BB-79BD-0240-983A-267D6DDA88CA}">
  <cacheSource type="worksheet">
    <worksheetSource ref="A1:M243" sheet="Sheet4"/>
  </cacheSource>
  <cacheFields count="12">
    <cacheField name="Year" numFmtId="0">
      <sharedItems containsSemiMixedTypes="0" containsString="0" containsNumber="1" containsInteger="1" minValue="2005" maxValue="2025" count="21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A_Export_US_Meat_lbs" numFmtId="0">
      <sharedItems containsSemiMixedTypes="0" containsString="0" containsNumber="1" minValue="2193.6" maxValue="4269755.9000000004"/>
    </cacheField>
    <cacheField name="CA_Meat_Value_USD" numFmtId="0">
      <sharedItems containsSemiMixedTypes="0" containsString="0" containsNumber="1" minValue="1.2" maxValue="23.45"/>
    </cacheField>
    <cacheField name="CA_Export_US_Tail" numFmtId="0">
      <sharedItems containsSemiMixedTypes="0" containsString="0" containsNumber="1" minValue="143.30000000000001" maxValue="8050110.4100000001"/>
    </cacheField>
    <cacheField name="CA_Tail_Value_USD" numFmtId="0">
      <sharedItems containsSemiMixedTypes="0" containsString="0" containsNumber="1" minValue="2" maxValue="20.329999999999998"/>
    </cacheField>
    <cacheField name="CA_Export_China_Fzn_Lbs" numFmtId="0">
      <sharedItems containsString="0" containsBlank="1" containsNumber="1" minValue="72.752459999999999" maxValue="861609.58840000001"/>
    </cacheField>
    <cacheField name="CA_Export_China_USD" numFmtId="0">
      <sharedItems containsString="0" containsBlank="1" containsNumber="1" minValue="0.65651628200000001" maxValue="53.191773210000001"/>
    </cacheField>
    <cacheField name="CA_EU_Fzn_LB" numFmtId="0">
      <sharedItems containsString="0" containsBlank="1" containsNumber="1" minValue="1953.3" maxValue="2911087.5"/>
    </cacheField>
    <cacheField name="CA_FZ_EU_USD" numFmtId="0">
      <sharedItems containsString="0" containsBlank="1" containsNumber="1" minValue="0.9" maxValue="30.91"/>
    </cacheField>
    <cacheField name="CA_Brine_UU" numFmtId="0">
      <sharedItems containsString="0" containsBlank="1" containsNumber="1" minValue="0" maxValue="1881611.67"/>
    </cacheField>
    <cacheField name="CA_Brine_EU_USD" numFmtId="0">
      <sharedItems containsString="0" containsBlank="1" containsNumber="1" minValue="0" maxValue="19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x v="0"/>
    <n v="430617.4"/>
    <n v="12.75"/>
    <n v="672603.11"/>
    <n v="15.03"/>
    <m/>
    <m/>
    <n v="27101.45"/>
    <n v="16.399999999999999"/>
    <n v="27745.200000000001"/>
    <n v="6.11"/>
  </r>
  <r>
    <x v="0"/>
    <x v="1"/>
    <n v="209796.05"/>
    <n v="11.36"/>
    <n v="327855.65000000002"/>
    <n v="13.41"/>
    <m/>
    <m/>
    <n v="8399.6200000000008"/>
    <n v="30.91"/>
    <n v="0"/>
    <n v="0"/>
  </r>
  <r>
    <x v="0"/>
    <x v="2"/>
    <n v="204992.18"/>
    <n v="6.53"/>
    <n v="126670.85"/>
    <n v="16.079999999999998"/>
    <n v="115171.5534"/>
    <n v="0.65651628200000001"/>
    <n v="50578.49"/>
    <n v="2.12"/>
    <n v="22.05"/>
    <n v="6.86"/>
  </r>
  <r>
    <x v="0"/>
    <x v="3"/>
    <n v="160330.99"/>
    <n v="11.64"/>
    <n v="566.59"/>
    <n v="17.11"/>
    <n v="1164.03936"/>
    <n v="19.820635620000001"/>
    <n v="1953.3"/>
    <n v="25.14"/>
    <n v="0"/>
    <n v="0"/>
  </r>
  <r>
    <x v="0"/>
    <x v="4"/>
    <n v="1537896.61"/>
    <n v="11.89"/>
    <n v="109615.91"/>
    <n v="12.28"/>
    <m/>
    <m/>
    <n v="137224.64000000001"/>
    <n v="5.29"/>
    <n v="403022.98"/>
    <n v="6.7"/>
  </r>
  <r>
    <x v="0"/>
    <x v="5"/>
    <n v="2369668.88"/>
    <n v="12.62"/>
    <n v="1716190.85"/>
    <n v="13.85"/>
    <n v="72730.413799999995"/>
    <n v="3.4754373969999999"/>
    <n v="317501.19"/>
    <n v="7.02"/>
    <n v="1450382.72"/>
    <n v="5.9"/>
  </r>
  <r>
    <x v="0"/>
    <x v="6"/>
    <n v="696346.86"/>
    <n v="13.31"/>
    <n v="3218690.09"/>
    <n v="12.4"/>
    <m/>
    <m/>
    <n v="454754.49"/>
    <n v="6.85"/>
    <n v="717510.45"/>
    <n v="5.79"/>
  </r>
  <r>
    <x v="0"/>
    <x v="7"/>
    <n v="792754.9"/>
    <n v="12.38"/>
    <n v="139742.04"/>
    <n v="4.8099999999999996"/>
    <n v="36376.230000000003"/>
    <n v="5.1379980830000003"/>
    <n v="343738.43"/>
    <n v="7.77"/>
    <n v="291142.7"/>
    <n v="6.71"/>
  </r>
  <r>
    <x v="0"/>
    <x v="8"/>
    <n v="883378.01"/>
    <n v="12.32"/>
    <n v="933358.95"/>
    <n v="13.18"/>
    <m/>
    <m/>
    <n v="173530.4"/>
    <n v="7.15"/>
    <n v="492451.37"/>
    <n v="5.59"/>
  </r>
  <r>
    <x v="0"/>
    <x v="9"/>
    <n v="1201980.8700000001"/>
    <n v="13.09"/>
    <n v="1849.68"/>
    <n v="6.89"/>
    <m/>
    <m/>
    <n v="157577.74"/>
    <n v="8.26"/>
    <n v="306348"/>
    <n v="5.33"/>
  </r>
  <r>
    <x v="0"/>
    <x v="10"/>
    <n v="1597606.54"/>
    <n v="13.3"/>
    <n v="861422.2"/>
    <n v="13.31"/>
    <m/>
    <m/>
    <n v="219373.36"/>
    <n v="5.38"/>
    <n v="185175.22"/>
    <n v="5.46"/>
  </r>
  <r>
    <x v="0"/>
    <x v="11"/>
    <n v="1179482.72"/>
    <n v="12.91"/>
    <n v="1807.79"/>
    <n v="7.56"/>
    <n v="749.57079999999996"/>
    <n v="53.191773210000001"/>
    <n v="81901.8"/>
    <n v="14.24"/>
    <n v="0"/>
    <n v="0"/>
  </r>
  <r>
    <x v="1"/>
    <x v="0"/>
    <n v="734028.23"/>
    <n v="9.4"/>
    <n v="1497915.83"/>
    <n v="14.83"/>
    <m/>
    <m/>
    <n v="243769.73"/>
    <n v="5.39"/>
    <n v="99362.42"/>
    <n v="3.01"/>
  </r>
  <r>
    <x v="1"/>
    <x v="1"/>
    <n v="148302.57999999999"/>
    <n v="11.76"/>
    <n v="2098269.13"/>
    <n v="15.51"/>
    <m/>
    <m/>
    <n v="74824.95"/>
    <n v="4.0199999999999996"/>
    <n v="0"/>
    <n v="0"/>
  </r>
  <r>
    <x v="1"/>
    <x v="2"/>
    <n v="177551.28"/>
    <n v="9.5"/>
    <n v="85102.74"/>
    <n v="14.89"/>
    <m/>
    <m/>
    <n v="59639.5"/>
    <n v="2.38"/>
    <n v="21164.39"/>
    <n v="9.15"/>
  </r>
  <r>
    <x v="1"/>
    <x v="3"/>
    <n v="88453.759999999995"/>
    <n v="10.43"/>
    <n v="2862694.66"/>
    <n v="15.79"/>
    <m/>
    <m/>
    <n v="21929.4"/>
    <n v="3.83"/>
    <n v="44950.09"/>
    <n v="7.31"/>
  </r>
  <r>
    <x v="1"/>
    <x v="4"/>
    <n v="2031105.38"/>
    <n v="13.04"/>
    <n v="120991.75"/>
    <n v="16.54"/>
    <m/>
    <m/>
    <n v="660838.37"/>
    <n v="6.44"/>
    <n v="669286.5"/>
    <n v="7.51"/>
  </r>
  <r>
    <x v="1"/>
    <x v="5"/>
    <n v="1944430.75"/>
    <n v="13.52"/>
    <n v="1746879.16"/>
    <n v="15.85"/>
    <n v="36900.929559999997"/>
    <n v="1.784860186"/>
    <n v="1156920.76"/>
    <n v="6.8"/>
    <n v="1351545"/>
    <n v="7.41"/>
  </r>
  <r>
    <x v="1"/>
    <x v="6"/>
    <n v="873058.18"/>
    <n v="13.9"/>
    <n v="14850.32"/>
    <n v="16.489999999999998"/>
    <n v="86956.826660000006"/>
    <n v="6.0594207520000003"/>
    <n v="816872.87"/>
    <n v="6.35"/>
    <n v="1016530.27"/>
    <n v="7.69"/>
  </r>
  <r>
    <x v="1"/>
    <x v="7"/>
    <n v="982934.24"/>
    <n v="12.59"/>
    <n v="797713.09"/>
    <n v="15.58"/>
    <n v="75395.799379999997"/>
    <n v="4.2670414350000003"/>
    <n v="307194.57"/>
    <n v="6.6"/>
    <n v="304945.84999999998"/>
    <n v="7.05"/>
  </r>
  <r>
    <x v="1"/>
    <x v="8"/>
    <n v="1093249.01"/>
    <n v="11.66"/>
    <n v="181784.15"/>
    <n v="13.82"/>
    <m/>
    <m/>
    <n v="332918.13"/>
    <n v="8.35"/>
    <n v="545884.85"/>
    <n v="7.32"/>
  </r>
  <r>
    <x v="1"/>
    <x v="9"/>
    <n v="1450662.01"/>
    <n v="12.22"/>
    <n v="120954.27"/>
    <n v="10.27"/>
    <n v="15941.60722"/>
    <n v="9.2205257580000008"/>
    <n v="535900.1"/>
    <n v="6.66"/>
    <n v="205726.73"/>
    <n v="9.35"/>
  </r>
  <r>
    <x v="1"/>
    <x v="10"/>
    <n v="993540.66"/>
    <n v="11.58"/>
    <n v="10390.370000000001"/>
    <n v="12.05"/>
    <m/>
    <m/>
    <n v="140050.97"/>
    <n v="3.44"/>
    <n v="85841.46"/>
    <n v="7.69"/>
  </r>
  <r>
    <x v="1"/>
    <x v="11"/>
    <n v="1783795.52"/>
    <n v="10.95"/>
    <n v="207994.87"/>
    <n v="14.68"/>
    <n v="114.64024000000001"/>
    <n v="31.97830012"/>
    <n v="110863.95"/>
    <n v="9.59"/>
    <n v="40838.46"/>
    <n v="8.07"/>
  </r>
  <r>
    <x v="2"/>
    <x v="0"/>
    <n v="718011.66"/>
    <n v="9.1999999999999993"/>
    <n v="800.28"/>
    <n v="5.54"/>
    <n v="110762.3134"/>
    <n v="3.9931451980000001"/>
    <n v="106112.98"/>
    <n v="6.24"/>
    <n v="60294.27"/>
    <n v="5.62"/>
  </r>
  <r>
    <x v="2"/>
    <x v="1"/>
    <n v="122140.36"/>
    <n v="13.72"/>
    <n v="3483542.11"/>
    <n v="12.69"/>
    <m/>
    <m/>
    <n v="32061.85"/>
    <n v="5.97"/>
    <n v="13315.93"/>
    <n v="8.18"/>
  </r>
  <r>
    <x v="2"/>
    <x v="2"/>
    <n v="171049.85"/>
    <n v="15.38"/>
    <n v="2553838.42"/>
    <n v="13.83"/>
    <m/>
    <m/>
    <n v="45441.72"/>
    <n v="8.68"/>
    <n v="5846.66"/>
    <n v="17.420000000000002"/>
  </r>
  <r>
    <x v="2"/>
    <x v="3"/>
    <n v="145626.17000000001"/>
    <n v="11.9"/>
    <n v="29460.34"/>
    <n v="5.97"/>
    <m/>
    <m/>
    <n v="90195.59"/>
    <n v="9.58"/>
    <n v="24596.99"/>
    <n v="8.14"/>
  </r>
  <r>
    <x v="2"/>
    <x v="4"/>
    <n v="964792.42"/>
    <n v="11.68"/>
    <n v="1503971.92"/>
    <n v="14.08"/>
    <m/>
    <m/>
    <n v="94558.55"/>
    <n v="7.81"/>
    <n v="249371.68"/>
    <n v="5.81"/>
  </r>
  <r>
    <x v="2"/>
    <x v="5"/>
    <n v="2081760.94"/>
    <n v="11.81"/>
    <n v="6000.98"/>
    <n v="6.02"/>
    <m/>
    <m/>
    <n v="284921.25"/>
    <n v="9.43"/>
    <n v="1881611.67"/>
    <n v="7.44"/>
  </r>
  <r>
    <x v="2"/>
    <x v="6"/>
    <n v="893188.57"/>
    <n v="11.94"/>
    <n v="106130.41"/>
    <n v="16.64"/>
    <n v="509.26722000000001"/>
    <n v="0.95234874899999999"/>
    <n v="506362.55"/>
    <n v="7.4"/>
    <n v="1347938.24"/>
    <n v="8.43"/>
  </r>
  <r>
    <x v="2"/>
    <x v="7"/>
    <n v="1150747.71"/>
    <n v="11.52"/>
    <n v="1649260.79"/>
    <n v="15.2"/>
    <n v="116311.342"/>
    <n v="2.0825484080000001"/>
    <n v="239254.66"/>
    <n v="8.11"/>
    <n v="671043.57999999996"/>
    <n v="7.26"/>
  </r>
  <r>
    <x v="2"/>
    <x v="8"/>
    <n v="1245356.77"/>
    <n v="10.86"/>
    <n v="64077.279999999999"/>
    <n v="16.39"/>
    <m/>
    <m/>
    <n v="281030.09000000003"/>
    <n v="9.6"/>
    <n v="426224.45"/>
    <n v="8.2100000000000009"/>
  </r>
  <r>
    <x v="2"/>
    <x v="9"/>
    <n v="1252127.1599999999"/>
    <n v="10.93"/>
    <n v="1657543.55"/>
    <n v="15.31"/>
    <m/>
    <m/>
    <n v="172950.58"/>
    <n v="8.75"/>
    <n v="234435.35"/>
    <n v="9.65"/>
  </r>
  <r>
    <x v="2"/>
    <x v="10"/>
    <n v="814812.12"/>
    <n v="11.1"/>
    <n v="2573106.7999999998"/>
    <n v="15.41"/>
    <m/>
    <m/>
    <n v="266100.37"/>
    <n v="4.2300000000000004"/>
    <n v="350235.45"/>
    <n v="9.56"/>
  </r>
  <r>
    <x v="2"/>
    <x v="11"/>
    <n v="707660.97"/>
    <n v="11.87"/>
    <n v="133015.75"/>
    <n v="14.86"/>
    <m/>
    <m/>
    <n v="232274.82"/>
    <n v="7.71"/>
    <n v="82691.05"/>
    <n v="10.31"/>
  </r>
  <r>
    <x v="3"/>
    <x v="0"/>
    <n v="451162.26"/>
    <n v="12.32"/>
    <n v="1872923.9"/>
    <n v="15.06"/>
    <m/>
    <m/>
    <n v="98610.65"/>
    <n v="4.54"/>
    <n v="120418.79"/>
    <n v="6.94"/>
  </r>
  <r>
    <x v="3"/>
    <x v="1"/>
    <n v="220378.22"/>
    <n v="11.66"/>
    <n v="124433.16"/>
    <n v="13.86"/>
    <n v="7555.2327400000004"/>
    <n v="11.347367180000001"/>
    <n v="12220.23"/>
    <n v="6.63"/>
    <n v="31424.720000000001"/>
    <n v="9.0399999999999991"/>
  </r>
  <r>
    <x v="3"/>
    <x v="2"/>
    <n v="129750.71"/>
    <n v="10.68"/>
    <n v="91515.98"/>
    <n v="15.47"/>
    <m/>
    <m/>
    <n v="14263.92"/>
    <n v="16.28"/>
    <n v="7674.3"/>
    <n v="7.56"/>
  </r>
  <r>
    <x v="3"/>
    <x v="3"/>
    <n v="333684.67"/>
    <n v="11.15"/>
    <n v="2451704.9900000002"/>
    <n v="14.92"/>
    <m/>
    <m/>
    <n v="41945.18"/>
    <n v="8.84"/>
    <n v="0"/>
    <n v="0"/>
  </r>
  <r>
    <x v="3"/>
    <x v="4"/>
    <n v="1706832.24"/>
    <n v="12.09"/>
    <n v="1059813.75"/>
    <n v="14.19"/>
    <m/>
    <m/>
    <n v="93447.42"/>
    <n v="10.3"/>
    <n v="140610.95000000001"/>
    <n v="8.14"/>
  </r>
  <r>
    <x v="3"/>
    <x v="5"/>
    <n v="2571272.56"/>
    <n v="11.8"/>
    <n v="260773.48"/>
    <n v="12.15"/>
    <m/>
    <m/>
    <n v="265053.18"/>
    <n v="7.2"/>
    <n v="788384.72"/>
    <n v="8.39"/>
  </r>
  <r>
    <x v="3"/>
    <x v="6"/>
    <n v="1301400.4099999999"/>
    <n v="12.22"/>
    <n v="297361.34999999998"/>
    <n v="8.31"/>
    <m/>
    <m/>
    <n v="263884.71999999997"/>
    <n v="8.65"/>
    <n v="596156.9"/>
    <n v="7.42"/>
  </r>
  <r>
    <x v="3"/>
    <x v="7"/>
    <n v="1095618.98"/>
    <n v="12.77"/>
    <n v="145888.51999999999"/>
    <n v="8.3699999999999992"/>
    <m/>
    <m/>
    <n v="231130.62"/>
    <n v="8.85"/>
    <n v="753648.65"/>
    <n v="7.73"/>
  </r>
  <r>
    <x v="3"/>
    <x v="8"/>
    <n v="1053316.73"/>
    <n v="14.61"/>
    <n v="1560930.49"/>
    <n v="14.05"/>
    <n v="3302.5207599999999"/>
    <n v="6.9477231689999996"/>
    <n v="231185.74"/>
    <n v="6.91"/>
    <n v="459485.62"/>
    <n v="6.88"/>
  </r>
  <r>
    <x v="3"/>
    <x v="9"/>
    <n v="1104885"/>
    <n v="10.93"/>
    <n v="15348.56"/>
    <n v="3.83"/>
    <m/>
    <m/>
    <n v="472541.4"/>
    <n v="8.56"/>
    <n v="293140.09000000003"/>
    <n v="4.87"/>
  </r>
  <r>
    <x v="3"/>
    <x v="10"/>
    <n v="859535.04"/>
    <n v="10.050000000000001"/>
    <n v="2682478"/>
    <n v="15.11"/>
    <m/>
    <m/>
    <n v="237166.88"/>
    <n v="5.64"/>
    <n v="161001.51999999999"/>
    <n v="6.78"/>
  </r>
  <r>
    <x v="3"/>
    <x v="11"/>
    <n v="1069183.3799999999"/>
    <n v="10.84"/>
    <n v="1552.05"/>
    <n v="11.11"/>
    <m/>
    <m/>
    <n v="80717.91"/>
    <n v="4.4400000000000004"/>
    <n v="143223.43"/>
    <n v="3.21"/>
  </r>
  <r>
    <x v="4"/>
    <x v="0"/>
    <n v="480633.62"/>
    <n v="8.17"/>
    <n v="1043047.61"/>
    <n v="16.29"/>
    <m/>
    <m/>
    <n v="32956.93"/>
    <n v="17.12"/>
    <n v="81127.97"/>
    <n v="6.39"/>
  </r>
  <r>
    <x v="4"/>
    <x v="1"/>
    <n v="200455.07"/>
    <n v="5.98"/>
    <n v="2138.48"/>
    <n v="2"/>
    <n v="33000.95678"/>
    <n v="10.180219989999999"/>
    <n v="107371.82"/>
    <n v="2.92"/>
    <n v="84384.2"/>
    <n v="7.62"/>
  </r>
  <r>
    <x v="4"/>
    <x v="2"/>
    <n v="215188.55"/>
    <n v="3.84"/>
    <n v="1875505.51"/>
    <n v="15.82"/>
    <n v="33699.821320000003"/>
    <n v="5.0946560920000001"/>
    <n v="34004.129999999997"/>
    <n v="9.0299999999999994"/>
    <n v="58823.79"/>
    <n v="5.0999999999999996"/>
  </r>
  <r>
    <x v="4"/>
    <x v="3"/>
    <n v="60750.51"/>
    <n v="4.57"/>
    <n v="2212142.16"/>
    <n v="15.9"/>
    <n v="2610.2700799999998"/>
    <n v="3.7030650870000001"/>
    <n v="38206.14"/>
    <n v="0.9"/>
    <n v="85396.13"/>
    <n v="5.57"/>
  </r>
  <r>
    <x v="4"/>
    <x v="4"/>
    <n v="1571318.65"/>
    <n v="10.199999999999999"/>
    <n v="189603.93"/>
    <n v="11.64"/>
    <m/>
    <m/>
    <n v="54275.65"/>
    <n v="8.83"/>
    <n v="82371.38"/>
    <n v="6.76"/>
  </r>
  <r>
    <x v="4"/>
    <x v="5"/>
    <n v="2227988.9700000002"/>
    <n v="9.6999999999999993"/>
    <n v="2008243.47"/>
    <n v="16.579999999999998"/>
    <n v="36477.642520000001"/>
    <n v="5.8804512899999999"/>
    <n v="319267.09000000003"/>
    <n v="5.29"/>
    <n v="723313.02"/>
    <n v="5.54"/>
  </r>
  <r>
    <x v="4"/>
    <x v="6"/>
    <n v="674538.76"/>
    <n v="8.3000000000000007"/>
    <n v="181949.49"/>
    <n v="14.96"/>
    <n v="68221.965899999996"/>
    <n v="2.2987610799999998"/>
    <n v="450292.33"/>
    <n v="3.88"/>
    <n v="1005670.29"/>
    <n v="5.36"/>
  </r>
  <r>
    <x v="4"/>
    <x v="7"/>
    <n v="988392.88"/>
    <n v="11.04"/>
    <n v="1750717.4"/>
    <n v="15.82"/>
    <n v="14625.44908"/>
    <n v="9.2940735879999998"/>
    <n v="109576.45"/>
    <n v="6.22"/>
    <n v="542011.31999999995"/>
    <n v="5.52"/>
  </r>
  <r>
    <x v="4"/>
    <x v="8"/>
    <n v="1126867.26"/>
    <n v="9.75"/>
    <n v="4662.7700000000004"/>
    <n v="18.61"/>
    <m/>
    <m/>
    <n v="333493.53999999998"/>
    <n v="4.28"/>
    <n v="598257.91"/>
    <n v="5.91"/>
  </r>
  <r>
    <x v="4"/>
    <x v="9"/>
    <n v="1206401.1299999999"/>
    <n v="9.69"/>
    <n v="1215761.95"/>
    <n v="15.46"/>
    <n v="28479.281159999999"/>
    <n v="3.442572846"/>
    <n v="368899.8"/>
    <n v="7.04"/>
    <n v="365211.47"/>
    <n v="6.85"/>
  </r>
  <r>
    <x v="4"/>
    <x v="10"/>
    <n v="1065294.43"/>
    <n v="9.02"/>
    <n v="17590.66"/>
    <n v="20.329999999999998"/>
    <n v="17844.19428"/>
    <n v="4.5804814"/>
    <n v="521600.91"/>
    <n v="5.28"/>
    <n v="376100.11"/>
    <n v="6.47"/>
  </r>
  <r>
    <x v="4"/>
    <x v="11"/>
    <n v="886658.48"/>
    <n v="9.41"/>
    <n v="694563.33"/>
    <n v="15.55"/>
    <m/>
    <m/>
    <n v="99613.75"/>
    <n v="9.8800000000000008"/>
    <n v="154440.54999999999"/>
    <n v="4.9000000000000004"/>
  </r>
  <r>
    <x v="5"/>
    <x v="0"/>
    <n v="692510.83"/>
    <n v="8.5500000000000007"/>
    <n v="324224.64000000001"/>
    <n v="14.44"/>
    <n v="17841.989659999999"/>
    <n v="6.7287899099999997"/>
    <n v="60671.26"/>
    <n v="8.5399999999999991"/>
    <n v="57701.63"/>
    <n v="7.64"/>
  </r>
  <r>
    <x v="5"/>
    <x v="1"/>
    <n v="182990.07"/>
    <n v="7.92"/>
    <n v="14524.04"/>
    <n v="7.43"/>
    <n v="2548.54072"/>
    <n v="10.7496811"/>
    <n v="70197.45"/>
    <n v="9.14"/>
    <n v="28252.26"/>
    <n v="16.12"/>
  </r>
  <r>
    <x v="5"/>
    <x v="2"/>
    <n v="255160.51"/>
    <n v="5.07"/>
    <n v="4327.67"/>
    <n v="3.83"/>
    <n v="72.752459999999999"/>
    <n v="13.387863449999999"/>
    <n v="19477.86"/>
    <n v="13.16"/>
    <n v="8441.51"/>
    <n v="6.66"/>
  </r>
  <r>
    <x v="5"/>
    <x v="3"/>
    <n v="273205.33"/>
    <n v="7.91"/>
    <n v="312736.37"/>
    <n v="14.93"/>
    <m/>
    <m/>
    <n v="11320.75"/>
    <n v="18.03"/>
    <n v="4814.8999999999996"/>
    <n v="11.29"/>
  </r>
  <r>
    <x v="5"/>
    <x v="4"/>
    <n v="2459604.14"/>
    <n v="10.130000000000001"/>
    <n v="542728.93999999994"/>
    <n v="13.53"/>
    <n v="33029.616840000002"/>
    <n v="4.7917600970000001"/>
    <n v="252411.86"/>
    <n v="5.86"/>
    <n v="298905.18"/>
    <n v="6.69"/>
  </r>
  <r>
    <x v="5"/>
    <x v="5"/>
    <n v="2347957.7799999998"/>
    <n v="11.93"/>
    <n v="6530.08"/>
    <n v="13.05"/>
    <n v="13086.624320000001"/>
    <n v="10.91114076"/>
    <n v="251091.29"/>
    <n v="6.65"/>
    <n v="1139537.29"/>
    <n v="6.3"/>
  </r>
  <r>
    <x v="5"/>
    <x v="6"/>
    <n v="1261159.48"/>
    <n v="10.4"/>
    <n v="2695068.58"/>
    <n v="15.87"/>
    <n v="9307.9056400000009"/>
    <n v="9.8005935520000005"/>
    <n v="245288.72"/>
    <n v="8.6199999999999992"/>
    <n v="1118419.2"/>
    <n v="6.16"/>
  </r>
  <r>
    <x v="5"/>
    <x v="7"/>
    <n v="1757124.03"/>
    <n v="10.25"/>
    <n v="4083939.5"/>
    <n v="14.9"/>
    <n v="21248.127560000001"/>
    <n v="10.99386284"/>
    <n v="413294.33"/>
    <n v="6.41"/>
    <n v="628937.46"/>
    <n v="6.44"/>
  </r>
  <r>
    <x v="5"/>
    <x v="8"/>
    <n v="1654880.37"/>
    <n v="9.93"/>
    <n v="191940.83"/>
    <n v="14.06"/>
    <n v="1840.8577"/>
    <n v="10.979664530000001"/>
    <n v="114232.61"/>
    <n v="9.2100000000000009"/>
    <n v="448019.37"/>
    <n v="6.5"/>
  </r>
  <r>
    <x v="5"/>
    <x v="9"/>
    <n v="1449941.1"/>
    <n v="11"/>
    <n v="23360.15"/>
    <n v="12.84"/>
    <n v="52963.79088"/>
    <n v="1.2274989940000001"/>
    <n v="362777.56"/>
    <n v="5.32"/>
    <n v="518084.53"/>
    <n v="7.2"/>
  </r>
  <r>
    <x v="5"/>
    <x v="10"/>
    <n v="1118694.74"/>
    <n v="11.6"/>
    <n v="1486376.85"/>
    <n v="15.69"/>
    <n v="1840.8577"/>
    <n v="11.20130035"/>
    <n v="344637.91"/>
    <n v="6.9"/>
    <n v="330951.59999999998"/>
    <n v="5.77"/>
  </r>
  <r>
    <x v="5"/>
    <x v="11"/>
    <n v="1545870.73"/>
    <n v="11.64"/>
    <n v="2220279.42"/>
    <n v="14.59"/>
    <n v="12246.6641"/>
    <n v="6.4660057100000001"/>
    <n v="80475.41"/>
    <n v="6.51"/>
    <n v="82695.460000000006"/>
    <n v="5.04"/>
  </r>
  <r>
    <x v="6"/>
    <x v="0"/>
    <n v="784181.13"/>
    <n v="11.85"/>
    <n v="121631.09"/>
    <n v="12.81"/>
    <n v="1496.9369799999999"/>
    <n v="19.837842469999998"/>
    <n v="46579.3"/>
    <n v="20.71"/>
    <n v="23578.46"/>
    <n v="5.98"/>
  </r>
  <r>
    <x v="6"/>
    <x v="1"/>
    <n v="207472.38"/>
    <n v="7.6"/>
    <n v="99642.21"/>
    <n v="17.12"/>
    <n v="1829.8345999999999"/>
    <n v="11.41469289"/>
    <n v="39361.360000000001"/>
    <n v="18.34"/>
    <n v="9193.2800000000007"/>
    <n v="11.13"/>
  </r>
  <r>
    <x v="6"/>
    <x v="2"/>
    <n v="157952.20000000001"/>
    <n v="8.58"/>
    <n v="2490563.62"/>
    <n v="15.99"/>
    <m/>
    <m/>
    <n v="15306.71"/>
    <n v="22.52"/>
    <n v="29090.02"/>
    <n v="11.36"/>
  </r>
  <r>
    <x v="6"/>
    <x v="3"/>
    <n v="167275.54"/>
    <n v="7.3"/>
    <n v="1878649.3"/>
    <n v="14.6"/>
    <m/>
    <m/>
    <n v="36850.300000000003"/>
    <n v="3.04"/>
    <n v="16830.099999999999"/>
    <n v="19.55"/>
  </r>
  <r>
    <x v="6"/>
    <x v="4"/>
    <n v="1532962.68"/>
    <n v="11.32"/>
    <n v="116858.09"/>
    <n v="10.32"/>
    <n v="35935.305999999997"/>
    <n v="7.202637985"/>
    <n v="39958.82"/>
    <n v="9.4"/>
    <n v="40679.730000000003"/>
    <n v="7.24"/>
  </r>
  <r>
    <x v="6"/>
    <x v="5"/>
    <n v="2554647.52"/>
    <n v="11.78"/>
    <n v="83151.649999999994"/>
    <n v="11.55"/>
    <n v="89990.383780000004"/>
    <n v="4.1657450970000003"/>
    <n v="379642.94"/>
    <n v="7.69"/>
    <n v="264969.40000000002"/>
    <n v="6.95"/>
  </r>
  <r>
    <x v="6"/>
    <x v="6"/>
    <n v="1236441.29"/>
    <n v="13.19"/>
    <n v="1690654.74"/>
    <n v="12.28"/>
    <n v="1953.29332"/>
    <n v="17.47151831"/>
    <n v="276466.52"/>
    <n v="9.08"/>
    <n v="1605641.19"/>
    <n v="7.09"/>
  </r>
  <r>
    <x v="6"/>
    <x v="7"/>
    <n v="2158832.25"/>
    <n v="11.88"/>
    <n v="1725595.76"/>
    <n v="13.48"/>
    <n v="23710.688099999999"/>
    <n v="7.9688113310000004"/>
    <n v="1779941"/>
    <n v="4.63"/>
    <n v="526323.22"/>
    <n v="8.44"/>
  </r>
  <r>
    <x v="6"/>
    <x v="8"/>
    <n v="1721605.39"/>
    <n v="11.27"/>
    <n v="42319.89"/>
    <n v="9.75"/>
    <n v="74780.710399999996"/>
    <n v="7.2658175759999999"/>
    <n v="1374777.33"/>
    <n v="4.99"/>
    <n v="651847.92000000004"/>
    <n v="7.16"/>
  </r>
  <r>
    <x v="6"/>
    <x v="9"/>
    <n v="1595871.51"/>
    <n v="11.37"/>
    <n v="1261.04"/>
    <n v="12.63"/>
    <n v="89800.786460000003"/>
    <n v="4.8725074380000004"/>
    <n v="489880.77"/>
    <n v="7.42"/>
    <n v="517689.91"/>
    <n v="6.43"/>
  </r>
  <r>
    <x v="6"/>
    <x v="10"/>
    <n v="1435432.49"/>
    <n v="10.34"/>
    <n v="571827.72"/>
    <n v="11.06"/>
    <n v="24621.19616"/>
    <n v="5.2517757119999997"/>
    <n v="800375.67"/>
    <n v="4.43"/>
    <n v="440697.81"/>
    <n v="6.5"/>
  </r>
  <r>
    <x v="6"/>
    <x v="11"/>
    <n v="1964878.6"/>
    <n v="10.37"/>
    <n v="15489.66"/>
    <n v="10.74"/>
    <m/>
    <m/>
    <n v="193506.5"/>
    <n v="10.4"/>
    <n v="83246.62"/>
    <n v="6.29"/>
  </r>
  <r>
    <x v="7"/>
    <x v="0"/>
    <n v="830559.72"/>
    <n v="12.22"/>
    <n v="317665.90000000002"/>
    <n v="11.12"/>
    <n v="1104.5146199999999"/>
    <n v="19.27634059"/>
    <n v="81253.64"/>
    <n v="20.059999999999999"/>
    <n v="9173.44"/>
    <n v="11.8"/>
  </r>
  <r>
    <x v="7"/>
    <x v="1"/>
    <n v="258553.42"/>
    <n v="10.16"/>
    <n v="143.30000000000001"/>
    <n v="15.09"/>
    <n v="6064.9096200000004"/>
    <n v="8.4172730009999999"/>
    <n v="103998.75"/>
    <n v="3.83"/>
    <n v="0"/>
    <n v="0"/>
  </r>
  <r>
    <x v="7"/>
    <x v="2"/>
    <n v="67518.69"/>
    <n v="13.07"/>
    <n v="481929.93"/>
    <n v="8.74"/>
    <n v="5277.8602799999999"/>
    <n v="3.7727410250000002"/>
    <n v="12213.62"/>
    <n v="10.3"/>
    <n v="21190.85"/>
    <n v="5.94"/>
  </r>
  <r>
    <x v="7"/>
    <x v="3"/>
    <n v="94293.8"/>
    <n v="13.87"/>
    <n v="335192.63"/>
    <n v="10.5"/>
    <m/>
    <m/>
    <n v="26391.56"/>
    <n v="18.170000000000002"/>
    <n v="0"/>
    <n v="0"/>
  </r>
  <r>
    <x v="7"/>
    <x v="4"/>
    <n v="1944880.49"/>
    <n v="12.36"/>
    <n v="14301.37"/>
    <n v="3.88"/>
    <n v="69696.856679999997"/>
    <n v="5.9328500550000003"/>
    <n v="33038.5"/>
    <n v="13.48"/>
    <n v="2482.41"/>
    <n v="12.1"/>
  </r>
  <r>
    <x v="7"/>
    <x v="5"/>
    <n v="3463843.83"/>
    <n v="12.17"/>
    <n v="2539239.4300000002"/>
    <n v="10.84"/>
    <n v="85444.457339999994"/>
    <n v="6.1944568020000004"/>
    <n v="207499.25"/>
    <n v="5.81"/>
    <n v="763130.74"/>
    <n v="5.9"/>
  </r>
  <r>
    <x v="7"/>
    <x v="6"/>
    <n v="2200607.59"/>
    <n v="11.84"/>
    <n v="60214.79"/>
    <n v="9.1300000000000008"/>
    <n v="16499.376079999998"/>
    <n v="4.5439900050000004"/>
    <n v="309725.48"/>
    <n v="9.42"/>
    <n v="1580856.81"/>
    <n v="5.71"/>
  </r>
  <r>
    <x v="7"/>
    <x v="7"/>
    <n v="1922413.21"/>
    <n v="11.46"/>
    <n v="3110643.86"/>
    <n v="11.14"/>
    <n v="196605.807"/>
    <n v="4.7286853539999996"/>
    <n v="163131.18"/>
    <n v="8.66"/>
    <n v="805710.86"/>
    <n v="6.91"/>
  </r>
  <r>
    <x v="7"/>
    <x v="8"/>
    <n v="1857943.51"/>
    <n v="11.07"/>
    <n v="48629.51"/>
    <n v="4.28"/>
    <n v="103251.1731"/>
    <n v="6.789821162"/>
    <n v="124896.38"/>
    <n v="6.34"/>
    <n v="435512.53"/>
    <n v="5.88"/>
  </r>
  <r>
    <x v="7"/>
    <x v="9"/>
    <n v="2261973.19"/>
    <n v="10.42"/>
    <n v="1276023.03"/>
    <n v="10.41"/>
    <n v="106648.49249999999"/>
    <n v="4.2246448069999998"/>
    <n v="170666.59"/>
    <n v="5.12"/>
    <n v="502830.74"/>
    <n v="6.81"/>
  </r>
  <r>
    <x v="7"/>
    <x v="10"/>
    <n v="1408743.36"/>
    <n v="10.3"/>
    <n v="54610.64"/>
    <n v="13.02"/>
    <n v="16411.191279999999"/>
    <n v="3.9594322489999998"/>
    <n v="256640.33"/>
    <n v="6"/>
    <n v="389693.82"/>
    <n v="6.57"/>
  </r>
  <r>
    <x v="7"/>
    <x v="11"/>
    <n v="2273333.6"/>
    <n v="10.63"/>
    <n v="1750673.31"/>
    <n v="12.51"/>
    <n v="44658.98734"/>
    <n v="8.7265077689999995"/>
    <n v="166601.26"/>
    <n v="5.99"/>
    <n v="179317.54"/>
    <n v="3.51"/>
  </r>
  <r>
    <x v="8"/>
    <x v="0"/>
    <n v="775779.32"/>
    <n v="11.74"/>
    <n v="72073.440000000002"/>
    <n v="10.94"/>
    <m/>
    <m/>
    <n v="87001.09"/>
    <n v="10.17"/>
    <n v="141345.09"/>
    <n v="7.98"/>
  </r>
  <r>
    <x v="8"/>
    <x v="1"/>
    <n v="186585.81"/>
    <n v="10.44"/>
    <n v="2556680.1800000002"/>
    <n v="11.35"/>
    <n v="7517.7542000000003"/>
    <n v="22.032909780000001"/>
    <n v="89595.94"/>
    <n v="8.7200000000000006"/>
    <n v="11091.47"/>
    <n v="10.61"/>
  </r>
  <r>
    <x v="8"/>
    <x v="2"/>
    <n v="169958.57"/>
    <n v="14.14"/>
    <n v="3437"/>
    <n v="3.99"/>
    <m/>
    <m/>
    <n v="74287.02"/>
    <n v="5.64"/>
    <n v="37033.279999999999"/>
    <n v="4.8499999999999996"/>
  </r>
  <r>
    <x v="8"/>
    <x v="3"/>
    <n v="125154.07"/>
    <n v="8.36"/>
    <n v="2265176.5"/>
    <n v="12.23"/>
    <m/>
    <m/>
    <n v="310825.59000000003"/>
    <n v="5.17"/>
    <n v="60351.59"/>
    <n v="5.94"/>
  </r>
  <r>
    <x v="8"/>
    <x v="4"/>
    <n v="1807014.58"/>
    <n v="10.66"/>
    <n v="9358.61"/>
    <n v="5"/>
    <n v="82942.213640000002"/>
    <n v="4.2758805730000002"/>
    <n v="130410.15"/>
    <n v="4.75"/>
    <n v="0"/>
    <n v="0"/>
  </r>
  <r>
    <x v="8"/>
    <x v="5"/>
    <n v="3298179.86"/>
    <n v="11.29"/>
    <n v="2225524.21"/>
    <n v="13.19"/>
    <n v="326303.60159999999"/>
    <n v="5.23183928"/>
    <n v="576643.77"/>
    <n v="5.62"/>
    <n v="473725.29"/>
    <n v="6.32"/>
  </r>
  <r>
    <x v="8"/>
    <x v="6"/>
    <n v="1965240.16"/>
    <n v="11.81"/>
    <n v="738.55"/>
    <n v="12.48"/>
    <n v="13201.26456"/>
    <n v="5.6343844680000004"/>
    <n v="636371.44999999995"/>
    <n v="7.29"/>
    <n v="528620.43000000005"/>
    <n v="6.55"/>
  </r>
  <r>
    <x v="8"/>
    <x v="7"/>
    <n v="2413190.2799999998"/>
    <n v="11.05"/>
    <n v="1634664"/>
    <n v="12.32"/>
    <n v="154140.41649999999"/>
    <n v="3.708125441"/>
    <n v="235015.17"/>
    <n v="7.35"/>
    <n v="501175.06"/>
    <n v="6.47"/>
  </r>
  <r>
    <x v="8"/>
    <x v="8"/>
    <n v="1976223.57"/>
    <n v="10.8"/>
    <n v="1145743.22"/>
    <n v="12.79"/>
    <n v="95806.171340000001"/>
    <n v="4.8827439139999997"/>
    <n v="312626.77"/>
    <n v="7.18"/>
    <n v="257383.29"/>
    <n v="6.24"/>
  </r>
  <r>
    <x v="8"/>
    <x v="9"/>
    <n v="2141428.98"/>
    <n v="10.95"/>
    <n v="14050.04"/>
    <n v="5.86"/>
    <n v="100435.87330000001"/>
    <n v="4.7265283230000001"/>
    <n v="396790.51"/>
    <n v="7.51"/>
    <n v="397398.98"/>
    <n v="6.99"/>
  </r>
  <r>
    <x v="8"/>
    <x v="10"/>
    <n v="1336930.07"/>
    <n v="11.05"/>
    <n v="9012.49"/>
    <n v="10.85"/>
    <n v="56420.635040000001"/>
    <n v="3.5565179269999998"/>
    <n v="400582.46"/>
    <n v="6.4"/>
    <n v="353846.63"/>
    <n v="6.75"/>
  </r>
  <r>
    <x v="8"/>
    <x v="11"/>
    <n v="1653923.56"/>
    <n v="10.4"/>
    <n v="328704.43"/>
    <n v="11.54"/>
    <n v="120339.1827"/>
    <n v="3.5163858559999999"/>
    <n v="208059.23"/>
    <n v="7.24"/>
    <n v="105180.43"/>
    <n v="6.21"/>
  </r>
  <r>
    <x v="9"/>
    <x v="0"/>
    <n v="714528.37"/>
    <n v="10.44"/>
    <n v="4210.82"/>
    <n v="5.18"/>
    <m/>
    <m/>
    <n v="130055.2"/>
    <n v="7.62"/>
    <n v="6946.77"/>
    <n v="6.02"/>
  </r>
  <r>
    <x v="9"/>
    <x v="1"/>
    <n v="113445.34"/>
    <n v="14.11"/>
    <n v="357529.84"/>
    <n v="12.81"/>
    <m/>
    <m/>
    <n v="64322.12"/>
    <n v="12.34"/>
    <n v="29266.39"/>
    <n v="6.07"/>
  </r>
  <r>
    <x v="9"/>
    <x v="2"/>
    <n v="137832.84"/>
    <n v="13.63"/>
    <n v="352785.5"/>
    <n v="12.92"/>
    <n v="25150.304960000001"/>
    <n v="9.4808790740000006"/>
    <n v="120066.05"/>
    <n v="8.34"/>
    <n v="33073.78"/>
    <n v="4.93"/>
  </r>
  <r>
    <x v="9"/>
    <x v="3"/>
    <n v="104062.47"/>
    <n v="13.19"/>
    <n v="4223031.18"/>
    <n v="10.95"/>
    <n v="39220.1898"/>
    <n v="2.2906314440000002"/>
    <n v="43005.61"/>
    <n v="3.99"/>
    <n v="47855.78"/>
    <n v="5.84"/>
  </r>
  <r>
    <x v="9"/>
    <x v="4"/>
    <n v="1017125.69"/>
    <n v="11.05"/>
    <n v="171054.26"/>
    <n v="11.37"/>
    <n v="2755.7750000000001"/>
    <n v="12.99960991"/>
    <n v="127473.59"/>
    <n v="6.98"/>
    <n v="22059.47"/>
    <n v="6.98"/>
  </r>
  <r>
    <x v="9"/>
    <x v="5"/>
    <n v="3369184.06"/>
    <n v="11.93"/>
    <n v="178186.21"/>
    <n v="12.97"/>
    <n v="44434.116099999999"/>
    <n v="3.140402291"/>
    <n v="750403.45"/>
    <n v="5.16"/>
    <n v="576474.01"/>
    <n v="5.95"/>
  </r>
  <r>
    <x v="9"/>
    <x v="6"/>
    <n v="2186949.9700000002"/>
    <n v="12.04"/>
    <n v="3493171.89"/>
    <n v="12.08"/>
    <n v="515947.21860000002"/>
    <n v="5.0846945300000002"/>
    <n v="837080.46"/>
    <n v="5.08"/>
    <n v="710111.73"/>
    <n v="6.52"/>
  </r>
  <r>
    <x v="9"/>
    <x v="7"/>
    <n v="1698154.85"/>
    <n v="12.22"/>
    <n v="75550.12"/>
    <n v="9.18"/>
    <n v="426825.45510000002"/>
    <n v="4.636670509"/>
    <n v="1118428.01"/>
    <n v="4.12"/>
    <n v="365495.86"/>
    <n v="6.45"/>
  </r>
  <r>
    <x v="9"/>
    <x v="8"/>
    <n v="2399548.09"/>
    <n v="12.61"/>
    <n v="2300468.06"/>
    <n v="13.06"/>
    <n v="254014.11180000001"/>
    <n v="4.0737657949999999"/>
    <n v="666261.75"/>
    <n v="6.28"/>
    <n v="507101.1"/>
    <n v="6.6"/>
  </r>
  <r>
    <x v="9"/>
    <x v="9"/>
    <n v="2578585.2799999998"/>
    <n v="12.25"/>
    <n v="3091631.22"/>
    <n v="12.82"/>
    <n v="159010.4221"/>
    <n v="4.8009746140000003"/>
    <n v="981534.07"/>
    <n v="5.73"/>
    <n v="475422.85"/>
    <n v="6.64"/>
  </r>
  <r>
    <x v="9"/>
    <x v="10"/>
    <n v="1650640.88"/>
    <n v="12.79"/>
    <n v="54989.84"/>
    <n v="14.57"/>
    <n v="31415.834999999999"/>
    <n v="3.9798082720000001"/>
    <n v="566026.30000000005"/>
    <n v="6.65"/>
    <n v="348200.59"/>
    <n v="6.61"/>
  </r>
  <r>
    <x v="9"/>
    <x v="11"/>
    <n v="2215565.94"/>
    <n v="12.09"/>
    <n v="2509708.54"/>
    <n v="12.88"/>
    <n v="39658.909180000002"/>
    <n v="6.071372233"/>
    <n v="312430.55"/>
    <n v="7.37"/>
    <n v="67163.88"/>
    <n v="7.16"/>
  </r>
  <r>
    <x v="10"/>
    <x v="0"/>
    <n v="1164934.44"/>
    <n v="11.24"/>
    <n v="49859.69"/>
    <n v="14.77"/>
    <n v="9645.2124999999996"/>
    <n v="13.015576380000001"/>
    <n v="192640.08"/>
    <n v="6.78"/>
    <n v="51729.31"/>
    <n v="10.63"/>
  </r>
  <r>
    <x v="10"/>
    <x v="1"/>
    <n v="347858.17"/>
    <n v="11.68"/>
    <n v="67386.41"/>
    <n v="15.52"/>
    <n v="485.01639999999998"/>
    <n v="5.8224835280000002"/>
    <n v="117184.61"/>
    <n v="5.62"/>
    <n v="15117.11"/>
    <n v="5.89"/>
  </r>
  <r>
    <x v="10"/>
    <x v="2"/>
    <n v="191321.33"/>
    <n v="13.09"/>
    <n v="3160186.08"/>
    <n v="13.61"/>
    <n v="5765.0812999999998"/>
    <n v="9.7714146720000006"/>
    <n v="96725.69"/>
    <n v="6.69"/>
    <n v="62655.43"/>
    <n v="5.55"/>
  </r>
  <r>
    <x v="10"/>
    <x v="3"/>
    <n v="214610.94"/>
    <n v="10.31"/>
    <n v="47681.52"/>
    <n v="15.51"/>
    <n v="39760.3217"/>
    <n v="6.0198205089999997"/>
    <n v="107451.19"/>
    <n v="5.4"/>
    <n v="35243.129999999997"/>
    <n v="6.57"/>
  </r>
  <r>
    <x v="10"/>
    <x v="4"/>
    <n v="219544.88"/>
    <n v="10.97"/>
    <n v="2163124.64"/>
    <n v="14.14"/>
    <m/>
    <m/>
    <n v="167811.6"/>
    <n v="4.67"/>
    <n v="0"/>
    <n v="0"/>
  </r>
  <r>
    <x v="10"/>
    <x v="5"/>
    <n v="3739833.59"/>
    <n v="12.81"/>
    <n v="3145600.32"/>
    <n v="13.94"/>
    <n v="687887.73699999996"/>
    <n v="4.4683555679999998"/>
    <n v="629329.88"/>
    <n v="6.65"/>
    <n v="315336.25"/>
    <n v="6.1"/>
  </r>
  <r>
    <x v="10"/>
    <x v="6"/>
    <n v="1873900.54"/>
    <n v="15.28"/>
    <n v="16382.53"/>
    <n v="16.3"/>
    <n v="540786.67209999997"/>
    <n v="4.3567900640000001"/>
    <n v="1451751.79"/>
    <n v="6.66"/>
    <n v="599230.15"/>
    <n v="6.51"/>
  </r>
  <r>
    <x v="10"/>
    <x v="7"/>
    <n v="2022635.23"/>
    <n v="13.96"/>
    <n v="1327130.53"/>
    <n v="14.24"/>
    <n v="186078.74650000001"/>
    <n v="4.8281763340000001"/>
    <n v="1130782.73"/>
    <n v="6.96"/>
    <n v="677681.71"/>
    <n v="6.37"/>
  </r>
  <r>
    <x v="10"/>
    <x v="8"/>
    <n v="2405174.2799999998"/>
    <n v="14.51"/>
    <n v="17158.560000000001"/>
    <n v="7.38"/>
    <n v="69800.473819999999"/>
    <n v="5.3242475249999996"/>
    <n v="743582.34"/>
    <n v="7.21"/>
    <n v="604788"/>
    <n v="7.41"/>
  </r>
  <r>
    <x v="10"/>
    <x v="9"/>
    <n v="2099633.79"/>
    <n v="14.52"/>
    <n v="389236.68"/>
    <n v="12.39"/>
    <n v="35326.830880000001"/>
    <n v="1.7904521410000001"/>
    <n v="891830.1"/>
    <n v="7.59"/>
    <n v="572183.81000000006"/>
    <n v="6.98"/>
  </r>
  <r>
    <x v="10"/>
    <x v="10"/>
    <n v="2041919.04"/>
    <n v="15.17"/>
    <n v="12718.45"/>
    <n v="14.37"/>
    <n v="197337.7408"/>
    <n v="4.9368154110000004"/>
    <n v="914440.73"/>
    <n v="6.26"/>
    <n v="430642.52"/>
    <n v="7.24"/>
  </r>
  <r>
    <x v="10"/>
    <x v="11"/>
    <n v="2382953.92"/>
    <n v="15.02"/>
    <n v="304698.33"/>
    <n v="14.08"/>
    <n v="151503.69099999999"/>
    <n v="7.5458557629999996"/>
    <n v="592627.30000000005"/>
    <n v="4.66"/>
    <n v="19848.23"/>
    <n v="13.4"/>
  </r>
  <r>
    <x v="11"/>
    <x v="0"/>
    <n v="1453730.84"/>
    <n v="14.49"/>
    <n v="194831.09"/>
    <n v="9.7899999999999991"/>
    <n v="26276.86578"/>
    <n v="9.0349435880000009"/>
    <n v="237499.78"/>
    <n v="7.19"/>
    <n v="237517.42"/>
    <n v="7.21"/>
  </r>
  <r>
    <x v="11"/>
    <x v="1"/>
    <n v="600679.57999999996"/>
    <n v="11.76"/>
    <n v="54264.52"/>
    <n v="14.72"/>
    <n v="42496.255120000002"/>
    <n v="5.8332198750000002"/>
    <n v="113820.35"/>
    <n v="6.24"/>
    <n v="20326.64"/>
    <n v="3.12"/>
  </r>
  <r>
    <x v="11"/>
    <x v="2"/>
    <n v="319493.53000000003"/>
    <n v="13.44"/>
    <n v="2620464.2400000002"/>
    <n v="11.5"/>
    <n v="10000.15632"/>
    <n v="7.1815877370000001"/>
    <n v="202073.67"/>
    <n v="10.09"/>
    <n v="0"/>
    <n v="0"/>
  </r>
  <r>
    <x v="11"/>
    <x v="3"/>
    <n v="256985.94"/>
    <n v="13.65"/>
    <n v="53010.09"/>
    <n v="15.53"/>
    <m/>
    <m/>
    <n v="182304.8"/>
    <n v="4.41"/>
    <n v="0"/>
    <n v="0"/>
  </r>
  <r>
    <x v="11"/>
    <x v="4"/>
    <n v="2250147.61"/>
    <n v="15.3"/>
    <n v="4061503.08"/>
    <n v="12.26"/>
    <n v="218336.7463"/>
    <n v="5.8062741219999996"/>
    <n v="602510.63"/>
    <n v="5.98"/>
    <n v="36431.42"/>
    <n v="7.24"/>
  </r>
  <r>
    <x v="11"/>
    <x v="5"/>
    <n v="4000781.23"/>
    <n v="15.23"/>
    <n v="70519.179999999993"/>
    <n v="16.22"/>
    <n v="606731.26560000004"/>
    <n v="5.6824251449999998"/>
    <n v="1611479.04"/>
    <n v="6.4"/>
    <n v="1154610.31"/>
    <n v="6.71"/>
  </r>
  <r>
    <x v="11"/>
    <x v="6"/>
    <n v="2698196.94"/>
    <n v="15.14"/>
    <n v="2116338.2000000002"/>
    <n v="13.95"/>
    <n v="74838.03052"/>
    <n v="5.7121091650000002"/>
    <n v="1638794.33"/>
    <n v="7.15"/>
    <n v="771898.53"/>
    <n v="7.78"/>
  </r>
  <r>
    <x v="11"/>
    <x v="7"/>
    <n v="2302348.6"/>
    <n v="14.99"/>
    <n v="84540.56"/>
    <n v="14.85"/>
    <n v="155110.44930000001"/>
    <n v="7.4181913909999997"/>
    <n v="693647.6"/>
    <n v="8.59"/>
    <n v="698213.37"/>
    <n v="8.39"/>
  </r>
  <r>
    <x v="11"/>
    <x v="8"/>
    <n v="1965813.36"/>
    <n v="13.91"/>
    <n v="4488690.0999999996"/>
    <n v="13.2"/>
    <n v="10934.915199999999"/>
    <n v="8.1467481339999992"/>
    <n v="868247.24"/>
    <n v="7.18"/>
    <n v="527403.48"/>
    <n v="8.25"/>
  </r>
  <r>
    <x v="11"/>
    <x v="9"/>
    <n v="2126005.46"/>
    <n v="14.75"/>
    <n v="60596.19"/>
    <n v="14.66"/>
    <n v="47760.88768"/>
    <n v="6.0500550559999997"/>
    <n v="898042.73"/>
    <n v="7.04"/>
    <n v="414731.74"/>
    <n v="7.59"/>
  </r>
  <r>
    <x v="11"/>
    <x v="10"/>
    <n v="1957662.88"/>
    <n v="14.44"/>
    <n v="3550163.52"/>
    <n v="13.77"/>
    <n v="384873.74109999998"/>
    <n v="6.766403425"/>
    <n v="543547.94999999995"/>
    <n v="6.35"/>
    <n v="266572.15999999997"/>
    <n v="7.22"/>
  </r>
  <r>
    <x v="11"/>
    <x v="11"/>
    <n v="1916039.65"/>
    <n v="14.47"/>
    <n v="268.95999999999998"/>
    <n v="12.33"/>
    <n v="145694.51730000001"/>
    <n v="5.6576665689999999"/>
    <n v="309458.71999999997"/>
    <n v="7.09"/>
    <n v="11960.09"/>
    <n v="7.49"/>
  </r>
  <r>
    <x v="12"/>
    <x v="0"/>
    <n v="229302.53"/>
    <n v="4.4400000000000004"/>
    <n v="3022353.24"/>
    <n v="12.65"/>
    <n v="1444.0261"/>
    <n v="5.2512901259999998"/>
    <n v="96544.91"/>
    <n v="10.66"/>
    <n v="35135.1"/>
    <n v="6.65"/>
  </r>
  <r>
    <x v="12"/>
    <x v="1"/>
    <n v="488180.03"/>
    <n v="16.7"/>
    <n v="2768786.67"/>
    <n v="12.08"/>
    <n v="53285.665399999998"/>
    <n v="6.4803732370000002"/>
    <n v="52915.4"/>
    <n v="8.39"/>
    <n v="0"/>
    <n v="0"/>
  </r>
  <r>
    <x v="12"/>
    <x v="2"/>
    <n v="804584.89"/>
    <n v="11.81"/>
    <n v="2949.78"/>
    <n v="2.0499999999999998"/>
    <n v="8518.6516800000009"/>
    <n v="8.9778292240000006"/>
    <n v="111767.84"/>
    <n v="8.4499999999999993"/>
    <n v="26305.58"/>
    <n v="3.29"/>
  </r>
  <r>
    <x v="12"/>
    <x v="3"/>
    <n v="87102.33"/>
    <n v="3.88"/>
    <n v="3225348.04"/>
    <n v="12.45"/>
    <n v="38036.308859999997"/>
    <n v="6.8258726410000001"/>
    <n v="25293.66"/>
    <n v="9.25"/>
    <n v="0"/>
    <n v="0"/>
  </r>
  <r>
    <x v="12"/>
    <x v="4"/>
    <n v="32357.21"/>
    <n v="11.93"/>
    <n v="1386642.05"/>
    <n v="13.92"/>
    <n v="280048.4694"/>
    <n v="6.3486331639999998"/>
    <n v="390392.69"/>
    <n v="6.32"/>
    <n v="112612.22"/>
    <n v="7.45"/>
  </r>
  <r>
    <x v="12"/>
    <x v="5"/>
    <n v="239053.56"/>
    <n v="17.05"/>
    <n v="437489.2"/>
    <n v="11.91"/>
    <n v="518714.01669999998"/>
    <n v="6.4495095410000003"/>
    <n v="1276107.1599999999"/>
    <n v="7.12"/>
    <n v="648505.71"/>
    <n v="7.8"/>
  </r>
  <r>
    <x v="12"/>
    <x v="6"/>
    <n v="72721.600000000006"/>
    <n v="3.91"/>
    <n v="201303.85"/>
    <n v="12.78"/>
    <n v="99946.447700000004"/>
    <n v="7.933868769"/>
    <n v="1661497.56"/>
    <n v="7.83"/>
    <n v="808971.5"/>
    <n v="7.74"/>
  </r>
  <r>
    <x v="12"/>
    <x v="7"/>
    <n v="344132.36"/>
    <n v="13.79"/>
    <n v="299.83"/>
    <n v="16.75"/>
    <n v="544838.76370000001"/>
    <n v="6.1616412479999996"/>
    <n v="820115.88"/>
    <n v="6.11"/>
    <n v="576520.31000000006"/>
    <n v="8.25"/>
  </r>
  <r>
    <x v="12"/>
    <x v="8"/>
    <n v="47913.01"/>
    <n v="10.5"/>
    <n v="170359.81"/>
    <n v="13.88"/>
    <n v="473545.76209999999"/>
    <n v="6.3536562679999999"/>
    <n v="819057.66"/>
    <n v="8.2799999999999994"/>
    <n v="281713.52"/>
    <n v="9.15"/>
  </r>
  <r>
    <x v="12"/>
    <x v="9"/>
    <n v="185452.63"/>
    <n v="16.88"/>
    <n v="3021286.21"/>
    <n v="11.95"/>
    <n v="309447.07709999999"/>
    <n v="6.3823546779999996"/>
    <n v="793713.29"/>
    <n v="7.06"/>
    <n v="205254.94"/>
    <n v="8.4499999999999993"/>
  </r>
  <r>
    <x v="12"/>
    <x v="10"/>
    <n v="75801.45"/>
    <n v="3.96"/>
    <n v="114541.03"/>
    <n v="12.61"/>
    <n v="218279.42619999999"/>
    <n v="6.5855175859999999"/>
    <n v="476362.02"/>
    <n v="7.52"/>
    <n v="61037.23"/>
    <n v="5.22"/>
  </r>
  <r>
    <x v="12"/>
    <x v="11"/>
    <n v="309167.09000000003"/>
    <n v="12.72"/>
    <n v="4955963.71"/>
    <n v="12.08"/>
    <n v="129508.1973"/>
    <n v="5.9534841519999997"/>
    <n v="354735.09"/>
    <n v="9.4"/>
    <n v="10747.54"/>
    <n v="7.97"/>
  </r>
  <r>
    <x v="13"/>
    <x v="0"/>
    <n v="40366.589999999997"/>
    <n v="9.76"/>
    <n v="116573.69"/>
    <n v="14.86"/>
    <n v="176565.8112"/>
    <n v="6.4218774429999996"/>
    <n v="72318.289999999994"/>
    <n v="12.75"/>
    <n v="18518.849999999999"/>
    <n v="7.93"/>
  </r>
  <r>
    <x v="13"/>
    <x v="1"/>
    <n v="82472.63"/>
    <n v="16.21"/>
    <n v="120429.57"/>
    <n v="12.78"/>
    <n v="97878.514139999999"/>
    <n v="5.1422419359999996"/>
    <n v="205340.92"/>
    <n v="6"/>
    <n v="0"/>
    <n v="0"/>
  </r>
  <r>
    <x v="13"/>
    <x v="2"/>
    <n v="24100.91"/>
    <n v="1.2"/>
    <n v="3716147.16"/>
    <n v="12.18"/>
    <n v="104450.48639999999"/>
    <n v="5.8966599530000003"/>
    <n v="76158.75"/>
    <n v="10.67"/>
    <n v="19336.759999999998"/>
    <n v="7.71"/>
  </r>
  <r>
    <x v="13"/>
    <x v="3"/>
    <n v="146940.13"/>
    <n v="11.97"/>
    <n v="110061.24"/>
    <n v="8.4600000000000009"/>
    <n v="280189.565"/>
    <n v="5.6768245449999997"/>
    <n v="115925.77"/>
    <n v="5.77"/>
    <n v="0"/>
    <n v="0"/>
  </r>
  <r>
    <x v="13"/>
    <x v="4"/>
    <n v="101377.25"/>
    <n v="5.89"/>
    <n v="4485019.4000000004"/>
    <n v="10.199999999999999"/>
    <n v="37000.137459999998"/>
    <n v="5.9802480530000004"/>
    <n v="314950.44"/>
    <n v="5.76"/>
    <n v="76877.460000000006"/>
    <n v="7.56"/>
  </r>
  <r>
    <x v="13"/>
    <x v="5"/>
    <n v="1343678.41"/>
    <n v="18.78"/>
    <n v="3989645.7"/>
    <n v="10.99"/>
    <n v="23106.622220000001"/>
    <n v="9.1573747989999994"/>
    <n v="1264588"/>
    <n v="6.9"/>
    <n v="459461.37"/>
    <n v="7.33"/>
  </r>
  <r>
    <x v="13"/>
    <x v="6"/>
    <n v="1481650.14"/>
    <n v="17.55"/>
    <n v="91264.65"/>
    <n v="11.8"/>
    <n v="160599.95310000001"/>
    <n v="4.7231769699999999"/>
    <n v="800485.9"/>
    <n v="7.74"/>
    <n v="762008.59"/>
    <n v="7.1"/>
  </r>
  <r>
    <x v="13"/>
    <x v="7"/>
    <n v="36594.49"/>
    <n v="4.66"/>
    <n v="3734833.51"/>
    <n v="11.34"/>
    <n v="43704.386879999998"/>
    <n v="8.8140122190000003"/>
    <n v="527251.36"/>
    <n v="7.14"/>
    <n v="244512.69"/>
    <n v="6.75"/>
  </r>
  <r>
    <x v="13"/>
    <x v="8"/>
    <n v="409563.28"/>
    <n v="3.93"/>
    <n v="60591.78"/>
    <n v="10.9"/>
    <n v="357216.78320000001"/>
    <n v="5.4981011310000003"/>
    <n v="693603.5"/>
    <n v="7.05"/>
    <n v="352929.5"/>
    <n v="7.6"/>
  </r>
  <r>
    <x v="13"/>
    <x v="9"/>
    <n v="3797876.83"/>
    <n v="15.93"/>
    <n v="2832603.8"/>
    <n v="11.2"/>
    <n v="227776.92920000001"/>
    <n v="6.2858868340000003"/>
    <n v="692900.23"/>
    <n v="7.94"/>
    <n v="531290.23"/>
    <n v="7.15"/>
  </r>
  <r>
    <x v="13"/>
    <x v="10"/>
    <n v="4269755.9000000004"/>
    <n v="14.61"/>
    <n v="128293.45"/>
    <n v="10.84"/>
    <n v="89150.423559999996"/>
    <n v="6.3287865329999997"/>
    <n v="523071.39"/>
    <n v="6.17"/>
    <n v="170723.91"/>
    <n v="7.24"/>
  </r>
  <r>
    <x v="13"/>
    <x v="11"/>
    <n v="62315.79"/>
    <n v="4.17"/>
    <n v="4109546.16"/>
    <n v="10.94"/>
    <n v="114600.55680000001"/>
    <n v="5.0741376479999998"/>
    <n v="236351.17"/>
    <n v="11.98"/>
    <n v="23876.080000000002"/>
    <n v="7.16"/>
  </r>
  <r>
    <x v="14"/>
    <x v="0"/>
    <n v="201658.8"/>
    <n v="7.28"/>
    <n v="1199752"/>
    <n v="11.33"/>
    <n v="86853.209520000004"/>
    <n v="5.4232768440000001"/>
    <n v="179008.89"/>
    <n v="8"/>
    <n v="25785.29"/>
    <n v="7.23"/>
  </r>
  <r>
    <x v="14"/>
    <x v="1"/>
    <n v="1639831.63"/>
    <n v="19.739999999999998"/>
    <n v="533548.9"/>
    <n v="10.08"/>
    <n v="69339.708240000007"/>
    <n v="5.5583447030000004"/>
    <n v="39487.03"/>
    <n v="9.5500000000000007"/>
    <n v="0"/>
    <n v="0"/>
  </r>
  <r>
    <x v="14"/>
    <x v="2"/>
    <n v="1982570.67"/>
    <n v="17.350000000000001"/>
    <n v="1499.14"/>
    <n v="5.98"/>
    <n v="69998.889620000002"/>
    <n v="5.9897378699999999"/>
    <n v="72404.28"/>
    <n v="15.05"/>
    <n v="16049.67"/>
    <n v="9.35"/>
  </r>
  <r>
    <x v="14"/>
    <x v="3"/>
    <n v="141080.25"/>
    <n v="3.85"/>
    <n v="484579.89"/>
    <n v="10"/>
    <n v="135440.8297"/>
    <n v="4.2473085939999997"/>
    <n v="67675.360000000001"/>
    <n v="7.9"/>
    <n v="20908.66"/>
    <n v="6.95"/>
  </r>
  <r>
    <x v="14"/>
    <x v="4"/>
    <n v="171413.61"/>
    <n v="6.62"/>
    <n v="384886.97"/>
    <n v="8.19"/>
    <n v="861609.58840000001"/>
    <n v="6.9167521809999997"/>
    <n v="143997.25"/>
    <n v="9.23"/>
    <n v="0"/>
    <n v="0"/>
  </r>
  <r>
    <x v="14"/>
    <x v="5"/>
    <n v="2135284.7000000002"/>
    <n v="18.2"/>
    <n v="2502761.79"/>
    <n v="10.49"/>
    <n v="164072.22959999999"/>
    <n v="6.4988755400000002"/>
    <n v="1696663.52"/>
    <n v="7.01"/>
    <n v="523212.49"/>
    <n v="7.13"/>
  </r>
  <r>
    <x v="14"/>
    <x v="6"/>
    <n v="61927.78"/>
    <n v="10.19"/>
    <n v="130460.59"/>
    <n v="8.4600000000000009"/>
    <n v="35031.411800000002"/>
    <n v="5.7647120010000004"/>
    <n v="1408871.85"/>
    <n v="6.1"/>
    <n v="512606.04"/>
    <n v="7.32"/>
  </r>
  <r>
    <x v="14"/>
    <x v="7"/>
    <n v="2368626.09"/>
    <n v="17.149999999999999"/>
    <n v="5401129.4000000004"/>
    <n v="10.45"/>
    <n v="177496.16080000001"/>
    <n v="6.2344390709999997"/>
    <n v="780913.24"/>
    <n v="7.98"/>
    <n v="662857.81000000006"/>
    <n v="7.24"/>
  </r>
  <r>
    <x v="14"/>
    <x v="8"/>
    <n v="103782.49"/>
    <n v="7.7"/>
    <n v="196552.9"/>
    <n v="10.92"/>
    <n v="261295.97159999999"/>
    <n v="6.6673588160000001"/>
    <n v="871979.66"/>
    <n v="7.8"/>
    <n v="466233.97"/>
    <n v="7.24"/>
  </r>
  <r>
    <x v="14"/>
    <x v="9"/>
    <n v="1420573.35"/>
    <n v="18.75"/>
    <n v="3298492.92"/>
    <n v="11.43"/>
    <n v="70391.311979999999"/>
    <n v="6.4784557520000003"/>
    <n v="817869.36"/>
    <n v="7.31"/>
    <n v="156958.24"/>
    <n v="6.21"/>
  </r>
  <r>
    <x v="14"/>
    <x v="10"/>
    <n v="3430.39"/>
    <n v="5.35"/>
    <n v="63457.78"/>
    <n v="13.24"/>
    <n v="70062.823600000003"/>
    <n v="6.5938821230000002"/>
    <n v="615447.36"/>
    <n v="8.3000000000000007"/>
    <n v="173744.25"/>
    <n v="7.2"/>
  </r>
  <r>
    <x v="14"/>
    <x v="11"/>
    <n v="1527786.23"/>
    <n v="17.97"/>
    <n v="5439893.2400000002"/>
    <n v="10.52"/>
    <n v="95863.491460000005"/>
    <n v="7.824386412"/>
    <n v="276587.77"/>
    <n v="7.47"/>
    <n v="54597.52"/>
    <n v="5.14"/>
  </r>
  <r>
    <x v="15"/>
    <x v="0"/>
    <n v="93398.73"/>
    <n v="6.63"/>
    <n v="170624.36"/>
    <n v="10.98"/>
    <n v="33265.511180000001"/>
    <n v="7.0167266850000001"/>
    <n v="102041.04"/>
    <n v="8.35"/>
    <n v="0"/>
    <n v="0"/>
  </r>
  <r>
    <x v="15"/>
    <x v="1"/>
    <n v="1525890.25"/>
    <n v="17.07"/>
    <n v="4037413.2"/>
    <n v="10.94"/>
    <n v="101610.93580000001"/>
    <n v="5.2272031139999999"/>
    <n v="162729.94"/>
    <n v="8.7899999999999991"/>
    <n v="33739.57"/>
    <n v="6.6"/>
  </r>
  <r>
    <x v="15"/>
    <x v="2"/>
    <n v="57507.51"/>
    <n v="8.7899999999999991"/>
    <n v="82651.199999999997"/>
    <n v="11.89"/>
    <m/>
    <m/>
    <n v="151506.20000000001"/>
    <n v="9.14"/>
    <n v="0"/>
    <n v="0"/>
  </r>
  <r>
    <x v="15"/>
    <x v="3"/>
    <n v="1676796.49"/>
    <n v="16.2"/>
    <n v="4104870.16"/>
    <n v="12.57"/>
    <n v="18177.091899999999"/>
    <n v="4.8008779669999999"/>
    <n v="9279.26"/>
    <n v="6.45"/>
    <n v="0"/>
    <n v="0"/>
  </r>
  <r>
    <x v="15"/>
    <x v="4"/>
    <n v="121778.8"/>
    <n v="6.13"/>
    <n v="108967.75"/>
    <n v="12.02"/>
    <n v="381165.57030000002"/>
    <n v="5.059562433"/>
    <n v="135487.4"/>
    <n v="3.84"/>
    <n v="83414.17"/>
    <n v="7.07"/>
  </r>
  <r>
    <x v="15"/>
    <x v="5"/>
    <n v="1266307.27"/>
    <n v="16.16"/>
    <n v="2628533.15"/>
    <n v="11.95"/>
    <n v="312985.49219999998"/>
    <n v="5.3588298559999998"/>
    <n v="1659231.2"/>
    <n v="5.44"/>
    <n v="459234.29"/>
    <n v="5.77"/>
  </r>
  <r>
    <x v="15"/>
    <x v="6"/>
    <n v="35359.9"/>
    <n v="7.36"/>
    <n v="64961.33"/>
    <n v="12.23"/>
    <n v="332331.03269999998"/>
    <n v="5.1356323430000002"/>
    <n v="1276878.78"/>
    <n v="5.36"/>
    <n v="491840.69"/>
    <n v="5.73"/>
  </r>
  <r>
    <x v="15"/>
    <x v="7"/>
    <n v="1423445.97"/>
    <n v="15.08"/>
    <n v="2770003.62"/>
    <n v="13.58"/>
    <n v="37983.397980000002"/>
    <n v="4.9431333159999999"/>
    <n v="688382.95"/>
    <n v="5.21"/>
    <n v="179202.9"/>
    <n v="6.65"/>
  </r>
  <r>
    <x v="15"/>
    <x v="8"/>
    <n v="164971.71"/>
    <n v="4.57"/>
    <n v="106919.66"/>
    <n v="10.84"/>
    <n v="114701.9694"/>
    <n v="5.1185433280000003"/>
    <n v="1126882.75"/>
    <n v="6.54"/>
    <n v="389213.21"/>
    <n v="6.79"/>
  </r>
  <r>
    <x v="15"/>
    <x v="9"/>
    <n v="1492860.64"/>
    <n v="16.260000000000002"/>
    <n v="1580908.75"/>
    <n v="13.72"/>
    <n v="34530.963060000002"/>
    <n v="5.2164198170000002"/>
    <n v="678664.97"/>
    <n v="9.52"/>
    <n v="665986.17000000004"/>
    <n v="6.18"/>
  </r>
  <r>
    <x v="15"/>
    <x v="10"/>
    <n v="118024.33"/>
    <n v="3.6"/>
    <n v="121778.8"/>
    <n v="3.88"/>
    <n v="194864.15719999999"/>
    <n v="4.938958575"/>
    <n v="328998.31"/>
    <n v="8.2899999999999991"/>
    <n v="384625.39"/>
    <n v="6.01"/>
  </r>
  <r>
    <x v="15"/>
    <x v="11"/>
    <n v="1775856.68"/>
    <n v="14.33"/>
    <n v="415343.79"/>
    <n v="12.2"/>
    <n v="60891.604399999997"/>
    <n v="3.556647951"/>
    <n v="107825.98"/>
    <n v="7.33"/>
    <n v="65342.86"/>
    <n v="6.3"/>
  </r>
  <r>
    <x v="16"/>
    <x v="0"/>
    <n v="72606.960000000006"/>
    <n v="7.57"/>
    <n v="271465.88"/>
    <n v="11.17"/>
    <n v="34630.170960000003"/>
    <n v="5.6929548580000002"/>
    <n v="88658.97"/>
    <n v="8"/>
    <n v="31446.76"/>
    <n v="6.28"/>
  </r>
  <r>
    <x v="16"/>
    <x v="1"/>
    <n v="571133.27"/>
    <n v="16.16"/>
    <n v="342207.73"/>
    <n v="12.63"/>
    <m/>
    <m/>
    <n v="19475.650000000001"/>
    <n v="14.11"/>
    <n v="14810.67"/>
    <n v="6.45"/>
  </r>
  <r>
    <x v="16"/>
    <x v="2"/>
    <n v="698009.15"/>
    <n v="14.31"/>
    <n v="2236959.5699999998"/>
    <n v="11.65"/>
    <n v="69061.926120000004"/>
    <n v="5.6468740720000001"/>
    <n v="203575.02"/>
    <n v="5.5"/>
    <n v="0"/>
    <n v="0"/>
  </r>
  <r>
    <x v="16"/>
    <x v="3"/>
    <n v="54268.93"/>
    <n v="3.87"/>
    <n v="19610.09"/>
    <n v="9.2899999999999991"/>
    <m/>
    <m/>
    <n v="49061.71"/>
    <n v="6.95"/>
    <n v="0"/>
    <n v="0"/>
  </r>
  <r>
    <x v="16"/>
    <x v="4"/>
    <n v="20593.36"/>
    <n v="23.45"/>
    <n v="85742.080000000002"/>
    <n v="8.6199999999999992"/>
    <n v="36012.467700000001"/>
    <n v="6.0047537369999997"/>
    <n v="300441.81"/>
    <n v="7.7"/>
    <n v="197152.95"/>
    <n v="8.64"/>
  </r>
  <r>
    <x v="16"/>
    <x v="5"/>
    <n v="300577.89"/>
    <n v="15.59"/>
    <n v="6567688.6399999997"/>
    <n v="11.89"/>
    <n v="487545.09909999999"/>
    <n v="8.4876209550000006"/>
    <n v="2252846.17"/>
    <n v="9.57"/>
    <n v="1315896.22"/>
    <n v="8.94"/>
  </r>
  <r>
    <x v="16"/>
    <x v="6"/>
    <n v="337198.83"/>
    <n v="15.43"/>
    <n v="3250555.66"/>
    <n v="12.38"/>
    <n v="177022.16750000001"/>
    <n v="8.9721927049999994"/>
    <n v="2594465.9500000002"/>
    <n v="8.66"/>
    <n v="578354.56000000006"/>
    <n v="8.68"/>
  </r>
  <r>
    <x v="16"/>
    <x v="7"/>
    <n v="16027.59"/>
    <n v="2.08"/>
    <n v="60027.39"/>
    <n v="6.25"/>
    <n v="165910.88269999999"/>
    <n v="7.1598437700000002"/>
    <n v="697353.57"/>
    <n v="8.58"/>
    <n v="157293.34"/>
    <n v="8.01"/>
  </r>
  <r>
    <x v="16"/>
    <x v="8"/>
    <n v="15998.93"/>
    <n v="7.44"/>
    <n v="109364.58"/>
    <n v="10.67"/>
    <n v="35273.919999999998"/>
    <n v="9.5494915220000003"/>
    <n v="719133.05"/>
    <n v="10.220000000000001"/>
    <n v="347757.46"/>
    <n v="9.77"/>
  </r>
  <r>
    <x v="16"/>
    <x v="9"/>
    <n v="288761.13"/>
    <n v="17.510000000000002"/>
    <n v="3583477.53"/>
    <n v="13.61"/>
    <n v="148950.74110000001"/>
    <n v="7.6477833669999997"/>
    <n v="1114730.8600000001"/>
    <n v="11.65"/>
    <n v="525238.54"/>
    <n v="8.52"/>
  </r>
  <r>
    <x v="16"/>
    <x v="10"/>
    <n v="306953.65000000002"/>
    <n v="16.920000000000002"/>
    <n v="4681856.7"/>
    <n v="14.29"/>
    <n v="60957.743000000002"/>
    <n v="9.9533704850000007"/>
    <n v="638035.93999999994"/>
    <n v="12.01"/>
    <n v="340521.88"/>
    <n v="8.0299999999999994"/>
  </r>
  <r>
    <x v="16"/>
    <x v="11"/>
    <n v="2193.6"/>
    <n v="8.41"/>
    <n v="101099.46"/>
    <n v="10.61"/>
    <n v="37035.411379999998"/>
    <n v="10.05497134"/>
    <n v="206328.59"/>
    <n v="14.57"/>
    <n v="44154.22"/>
    <n v="8.51"/>
  </r>
  <r>
    <x v="17"/>
    <x v="0"/>
    <n v="3231.97"/>
    <n v="14.6"/>
    <n v="147158.39000000001"/>
    <n v="12.33"/>
    <n v="436.51476000000002"/>
    <n v="27.779129390000001"/>
    <n v="284656.7"/>
    <n v="8.1"/>
    <n v="151041.01999999999"/>
    <n v="10.82"/>
  </r>
  <r>
    <x v="17"/>
    <x v="1"/>
    <n v="174497.88"/>
    <n v="16.43"/>
    <n v="4812458.38"/>
    <n v="15.85"/>
    <n v="1761.4913799999999"/>
    <n v="25.764531420000001"/>
    <n v="412491.84"/>
    <n v="18.2"/>
    <n v="0"/>
    <n v="0"/>
  </r>
  <r>
    <x v="17"/>
    <x v="2"/>
    <n v="250905.60000000001"/>
    <n v="12.64"/>
    <n v="3143397.9"/>
    <n v="15.17"/>
    <m/>
    <m/>
    <n v="63526.25"/>
    <n v="20.61"/>
    <n v="31724.55"/>
    <n v="11.5"/>
  </r>
  <r>
    <x v="17"/>
    <x v="3"/>
    <n v="73175.75"/>
    <n v="3.51"/>
    <n v="106514.01"/>
    <n v="13.39"/>
    <m/>
    <m/>
    <n v="72190.429999999993"/>
    <n v="16.18"/>
    <n v="24954.14"/>
    <n v="9.5399999999999991"/>
  </r>
  <r>
    <x v="17"/>
    <x v="4"/>
    <n v="148163.69"/>
    <n v="4.9800000000000004"/>
    <n v="89838.27"/>
    <n v="13.5"/>
    <n v="35031.411800000002"/>
    <n v="8.5948291700000006"/>
    <n v="732228.52"/>
    <n v="9.99"/>
    <n v="104280.94"/>
    <n v="9.4600000000000009"/>
  </r>
  <r>
    <x v="17"/>
    <x v="5"/>
    <n v="1501917.22"/>
    <n v="17.34"/>
    <n v="3981056.5"/>
    <n v="14.87"/>
    <n v="101562.4342"/>
    <n v="8.1974896220000009"/>
    <n v="2911087.5"/>
    <n v="8.93"/>
    <n v="1563085.33"/>
    <n v="9.58"/>
  </r>
  <r>
    <x v="17"/>
    <x v="6"/>
    <n v="1654304.96"/>
    <n v="16.2"/>
    <n v="2245136.5099999998"/>
    <n v="13.28"/>
    <n v="331147.15169999999"/>
    <n v="8.8901111929999992"/>
    <n v="2716705.76"/>
    <n v="9.6300000000000008"/>
    <n v="1427877.92"/>
    <n v="9.7100000000000009"/>
  </r>
  <r>
    <x v="17"/>
    <x v="7"/>
    <n v="4224.05"/>
    <n v="3.88"/>
    <n v="32670.26"/>
    <n v="6.33"/>
    <n v="339149.92229999998"/>
    <n v="8.9466480760000007"/>
    <n v="1306844.04"/>
    <n v="11.02"/>
    <n v="809302.19"/>
    <n v="9.15"/>
  </r>
  <r>
    <x v="17"/>
    <x v="8"/>
    <n v="198949.32"/>
    <n v="3.46"/>
    <n v="533240.26"/>
    <n v="14.28"/>
    <n v="212035.9424"/>
    <n v="8.0964480870000006"/>
    <n v="1284403.1599999999"/>
    <n v="9.74"/>
    <n v="526294.56000000006"/>
    <n v="9.24"/>
  </r>
  <r>
    <x v="17"/>
    <x v="9"/>
    <n v="2796838.25"/>
    <n v="16.63"/>
    <n v="366513.67"/>
    <n v="14.95"/>
    <n v="214432.36429999999"/>
    <n v="8.1425861519999998"/>
    <n v="564875.48"/>
    <n v="9.51"/>
    <n v="423395.92"/>
    <n v="8.06"/>
  </r>
  <r>
    <x v="17"/>
    <x v="10"/>
    <n v="3004588.41"/>
    <n v="15.72"/>
    <n v="342265.05"/>
    <n v="12.99"/>
    <n v="247190.81289999999"/>
    <n v="8.4940656800000003"/>
    <n v="307752.34000000003"/>
    <n v="6.93"/>
    <n v="389330.06"/>
    <n v="10.01"/>
  </r>
  <r>
    <x v="17"/>
    <x v="11"/>
    <n v="8800.84"/>
    <n v="2"/>
    <n v="620507.93999999994"/>
    <n v="10.029999999999999"/>
    <n v="70062.823600000003"/>
    <n v="6.3936618159999998"/>
    <n v="136783.72"/>
    <n v="9.27"/>
    <n v="47372.97"/>
    <n v="7.6"/>
  </r>
  <r>
    <x v="18"/>
    <x v="0"/>
    <n v="230323.27"/>
    <n v="3.22"/>
    <n v="1796.77"/>
    <n v="8.1999999999999993"/>
    <n v="1752.6729"/>
    <n v="26.206259020000001"/>
    <n v="178658.35"/>
    <n v="8.67"/>
    <n v="105949.84"/>
    <n v="8.56"/>
  </r>
  <r>
    <x v="18"/>
    <x v="1"/>
    <n v="1835242.53"/>
    <n v="15.9"/>
    <n v="8050110.4100000001"/>
    <n v="11.82"/>
    <n v="102190.7509"/>
    <n v="6.5069685310000001"/>
    <n v="297445.71999999997"/>
    <n v="9.4700000000000006"/>
    <n v="79487.73"/>
    <n v="4.32"/>
  </r>
  <r>
    <x v="18"/>
    <x v="2"/>
    <n v="2065565.8"/>
    <n v="14.48"/>
    <n v="327553.62"/>
    <n v="11.33"/>
    <n v="24927.638340000001"/>
    <n v="21.108257139999999"/>
    <n v="92014.41"/>
    <n v="17.399999999999999"/>
    <n v="0"/>
    <n v="0"/>
  </r>
  <r>
    <x v="18"/>
    <x v="3"/>
    <n v="353376.34"/>
    <n v="2.1800000000000002"/>
    <n v="2553697.33"/>
    <n v="14.11"/>
    <n v="36601.101240000004"/>
    <n v="7.1998653340000001"/>
    <n v="34969.75"/>
    <n v="3.79"/>
    <n v="0"/>
    <n v="0"/>
  </r>
  <r>
    <x v="18"/>
    <x v="4"/>
    <n v="2138349.12"/>
    <n v="16.43"/>
    <n v="36241.75"/>
    <n v="13.56"/>
    <n v="35273.919999999998"/>
    <n v="6.924521006"/>
    <n v="202406.57"/>
    <n v="7.28"/>
    <n v="87871.92"/>
    <n v="9.27"/>
  </r>
  <r>
    <x v="18"/>
    <x v="5"/>
    <n v="2491725.46"/>
    <n v="14.41"/>
    <n v="3744326.61"/>
    <n v="14.89"/>
    <n v="711038.45160000003"/>
    <n v="7.7605310760000004"/>
    <n v="1094011.8"/>
    <n v="8.2799999999999994"/>
    <n v="715614.47"/>
    <n v="8.9499999999999993"/>
  </r>
  <r>
    <x v="18"/>
    <x v="6"/>
    <n v="257274.74"/>
    <n v="2.95"/>
    <n v="139054.20000000001"/>
    <n v="14.9"/>
    <n v="269766.12170000002"/>
    <n v="6.7960757579999997"/>
    <n v="939992.33"/>
    <n v="8.24"/>
    <n v="589406.34"/>
    <n v="10.66"/>
  </r>
  <r>
    <x v="18"/>
    <x v="7"/>
    <n v="1567914.72"/>
    <n v="16.95"/>
    <n v="4050387.39"/>
    <n v="15.05"/>
    <n v="108542.2611"/>
    <n v="6.8060402709999996"/>
    <n v="695596.48"/>
    <n v="8.8699999999999992"/>
    <n v="334410.65999999997"/>
    <n v="10.29"/>
  </r>
  <r>
    <x v="18"/>
    <x v="8"/>
    <n v="1825189.47"/>
    <n v="14.98"/>
    <n v="137374.28"/>
    <n v="14.41"/>
    <n v="3218.7451999999998"/>
    <n v="15.095012799999999"/>
    <n v="989168.68"/>
    <n v="11.58"/>
    <n v="572671.03"/>
    <n v="8.66"/>
  </r>
  <r>
    <x v="18"/>
    <x v="9"/>
    <n v="289951.62"/>
    <n v="3.77"/>
    <n v="3291592.46"/>
    <n v="15.36"/>
    <n v="257702.44099999999"/>
    <n v="6.4868962559999996"/>
    <n v="562628.97"/>
    <n v="8.4700000000000006"/>
    <n v="237147.04"/>
    <n v="8.6300000000000008"/>
  </r>
  <r>
    <x v="18"/>
    <x v="10"/>
    <n v="1562806.62"/>
    <n v="15.63"/>
    <n v="149393.87"/>
    <n v="12.04"/>
    <n v="144023.4154"/>
    <n v="2.8142090579999999"/>
    <n v="244969.05"/>
    <n v="11.92"/>
    <n v="98639.31"/>
    <n v="10.57"/>
  </r>
  <r>
    <x v="18"/>
    <x v="11"/>
    <n v="1912981.84"/>
    <n v="13.44"/>
    <n v="3657654.18"/>
    <n v="15.15"/>
    <n v="143368.64319999999"/>
    <n v="8.1801360019999994"/>
    <n v="221677.19"/>
    <n v="8.4700000000000006"/>
    <n v="115782.47"/>
    <n v="6.51"/>
  </r>
  <r>
    <x v="19"/>
    <x v="0"/>
    <n v="60223.6"/>
    <n v="3.18"/>
    <n v="134071.76"/>
    <n v="13.99"/>
    <n v="320404.03850000002"/>
    <n v="8.1382245130000008"/>
    <n v="53307.82"/>
    <n v="5.8"/>
    <n v="98326.25"/>
    <n v="8.32"/>
  </r>
  <r>
    <x v="19"/>
    <x v="1"/>
    <n v="107748.6"/>
    <n v="1.75"/>
    <n v="5039366.6900000004"/>
    <n v="13.78"/>
    <n v="69022.242960000003"/>
    <n v="7.7305949089999997"/>
    <n v="114466.3"/>
    <n v="9.24"/>
    <n v="40558.480000000003"/>
    <n v="8.6999999999999993"/>
  </r>
  <r>
    <x v="19"/>
    <x v="2"/>
    <n v="692076.52"/>
    <n v="14.06"/>
    <n v="185119.74"/>
    <n v="12.73"/>
    <n v="318137.68910000002"/>
    <n v="7.0180870630000003"/>
    <n v="158109.04999999999"/>
    <n v="11.07"/>
    <n v="134415.95000000001"/>
    <n v="10.86"/>
  </r>
  <r>
    <x v="19"/>
    <x v="3"/>
    <n v="799825.11"/>
    <n v="12.4"/>
    <n v="30842.63"/>
    <n v="13.99"/>
    <n v="15844.603940000001"/>
    <n v="7.8395143530000002"/>
    <n v="34841.879999999997"/>
    <n v="9.1300000000000008"/>
    <n v="80215.259999999995"/>
    <n v="7.66"/>
  </r>
  <r>
    <x v="19"/>
    <x v="4"/>
    <n v="58989.02"/>
    <n v="2.34"/>
    <n v="2406805.7000000002"/>
    <n v="13.77"/>
    <n v="133787.36470000001"/>
    <n v="4.3424878070000004"/>
    <n v="302789.73"/>
    <n v="5.98"/>
    <n v="75239.42"/>
    <n v="8.52"/>
  </r>
  <r>
    <x v="19"/>
    <x v="5"/>
    <n v="918793.02"/>
    <n v="14.27"/>
    <n v="14325.62"/>
    <n v="4.04"/>
    <n v="673753.91819999996"/>
    <n v="6.8582176300000004"/>
    <n v="1743780.75"/>
    <n v="8.83"/>
    <n v="450876.56"/>
    <n v="8.2200000000000006"/>
  </r>
  <r>
    <x v="19"/>
    <x v="6"/>
    <n v="1075089.56"/>
    <n v="12.65"/>
    <n v="690401"/>
    <n v="13.8"/>
    <n v="515572.43320000003"/>
    <n v="7.584404728"/>
    <n v="1852462.12"/>
    <n v="9.19"/>
    <n v="689582.27"/>
    <n v="10.29"/>
  </r>
  <r>
    <x v="19"/>
    <x v="7"/>
    <n v="97307.520000000004"/>
    <n v="3.52"/>
    <n v="462725.49"/>
    <n v="14.86"/>
    <n v="117618.6816"/>
    <n v="8.8088132409999993"/>
    <n v="1253589.1299999999"/>
    <n v="8.33"/>
    <n v="520926.29"/>
    <n v="8.8699999999999992"/>
  </r>
  <r>
    <x v="19"/>
    <x v="8"/>
    <n v="128754.22"/>
    <n v="2.06"/>
    <n v="40221.089999999997"/>
    <n v="3.83"/>
    <n v="19801.896840000001"/>
    <n v="11.189231100000001"/>
    <n v="1086090.58"/>
    <n v="8.6300000000000008"/>
    <n v="182882.41"/>
    <n v="8.11"/>
  </r>
  <r>
    <x v="19"/>
    <x v="9"/>
    <n v="864241.9"/>
    <n v="10.87"/>
    <n v="417475.66"/>
    <n v="13.54"/>
    <n v="110305.9571"/>
    <n v="5.124093158"/>
    <n v="514345.49"/>
    <n v="8.6"/>
    <n v="161691.56"/>
    <n v="15.19"/>
  </r>
  <r>
    <x v="19"/>
    <x v="10"/>
    <n v="671260.49"/>
    <n v="12.74"/>
    <n v="21783.85"/>
    <n v="4.09"/>
    <n v="282506.62070000003"/>
    <n v="7.8551999769999998"/>
    <n v="374054.22"/>
    <n v="9.35"/>
    <n v="151545.88"/>
    <n v="12.73"/>
  </r>
  <r>
    <x v="19"/>
    <x v="11"/>
    <n v="64227.19"/>
    <n v="8.9600000000000009"/>
    <n v="184797.86"/>
    <n v="9.3800000000000008"/>
    <n v="70274.467120000001"/>
    <n v="7.5164853129999996"/>
    <n v="433127.13"/>
    <n v="7.79"/>
    <n v="51804.26"/>
    <n v="10.029999999999999"/>
  </r>
  <r>
    <x v="20"/>
    <x v="0"/>
    <n v="2912.3"/>
    <n v="15.5"/>
    <n v="2874835.5"/>
    <n v="13.1"/>
    <m/>
    <m/>
    <m/>
    <m/>
    <n v="34949.910000000003"/>
    <n v="13.87"/>
  </r>
  <r>
    <x v="20"/>
    <x v="1"/>
    <n v="210450.82"/>
    <n v="13.44"/>
    <n v="237384.66"/>
    <n v="11.6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15F48-62F7-5649-80FC-6FFAF279B9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N268" firstHeaderRow="0" firstDataRow="1" firstDataCol="2"/>
  <pivotFields count="12">
    <pivotField axis="axisRow" compact="0" outline="0" showAll="0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0"/>
    <field x="1"/>
  </rowFields>
  <rowItems count="26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8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9"/>
    </i>
    <i>
      <x v="20"/>
      <x/>
    </i>
    <i r="1">
      <x v="1"/>
    </i>
    <i t="default">
      <x v="20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CA_Brine_EU_USD" fld="11" baseField="0" baseItem="0"/>
    <dataField name="Sum of CA_Brine_UU" fld="10" baseField="0" baseItem="0"/>
    <dataField name="Sum of CA_FZ_EU_USD" fld="9" baseField="0" baseItem="0"/>
    <dataField name="Sum of CA_EU_Fzn_LB" fld="8" baseField="0" baseItem="0"/>
    <dataField name="Sum of CA_Export_China_USD" fld="7" baseField="0" baseItem="0"/>
    <dataField name="Sum of CA_Export_China_Fzn_Lbs" fld="6" baseField="0" baseItem="0"/>
    <dataField name="Sum of CA_Tail_Value_USD" fld="5" baseField="0" baseItem="0"/>
    <dataField name="Sum of CA_Export_US_Tail" fld="4" baseField="0" baseItem="0"/>
    <dataField name="Sum of CA_Meat_Value_USD" fld="3" baseField="0" baseItem="0"/>
    <dataField name="Sum of CA_Export_US_Meat_lb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44"/>
  <sheetViews>
    <sheetView workbookViewId="0">
      <pane xSplit="3" ySplit="1" topLeftCell="BQ2" activePane="bottomRight" state="frozen"/>
      <selection pane="topRight" activeCell="D1" sqref="D1"/>
      <selection pane="bottomLeft" activeCell="A2" sqref="A2"/>
      <selection pane="bottomRight" activeCell="BX1" sqref="BX1:CC1"/>
    </sheetView>
  </sheetViews>
  <sheetFormatPr baseColWidth="10" defaultColWidth="8.83203125" defaultRowHeight="15" x14ac:dyDescent="0.2"/>
  <cols>
    <col min="1" max="1" width="4.83203125" bestFit="1" customWidth="1"/>
    <col min="2" max="2" width="11.5" customWidth="1"/>
    <col min="3" max="3" width="6.5" bestFit="1" customWidth="1"/>
    <col min="4" max="4" width="7.33203125" bestFit="1" customWidth="1"/>
    <col min="5" max="5" width="8.6640625" bestFit="1" customWidth="1"/>
    <col min="6" max="6" width="8" bestFit="1" customWidth="1"/>
    <col min="7" max="7" width="11" bestFit="1" customWidth="1"/>
    <col min="8" max="8" width="19.33203125" bestFit="1" customWidth="1"/>
    <col min="9" max="9" width="19.5" bestFit="1" customWidth="1"/>
    <col min="10" max="10" width="18.1640625" bestFit="1" customWidth="1"/>
    <col min="11" max="11" width="12.5" bestFit="1" customWidth="1"/>
    <col min="12" max="12" width="12.1640625" bestFit="1" customWidth="1"/>
    <col min="13" max="13" width="12.6640625" bestFit="1" customWidth="1"/>
    <col min="14" max="14" width="13.1640625" bestFit="1" customWidth="1"/>
    <col min="15" max="15" width="12.33203125" bestFit="1" customWidth="1"/>
    <col min="16" max="16" width="12" bestFit="1" customWidth="1"/>
    <col min="17" max="17" width="12.5" bestFit="1" customWidth="1"/>
    <col min="18" max="18" width="15.6640625" bestFit="1" customWidth="1"/>
    <col min="19" max="19" width="23.33203125" bestFit="1" customWidth="1"/>
    <col min="20" max="20" width="19" bestFit="1" customWidth="1"/>
    <col min="21" max="21" width="14.1640625" bestFit="1" customWidth="1"/>
    <col min="22" max="22" width="20.5" bestFit="1" customWidth="1"/>
    <col min="23" max="23" width="11.6640625" bestFit="1" customWidth="1"/>
    <col min="24" max="24" width="16" bestFit="1" customWidth="1"/>
    <col min="25" max="25" width="15.33203125" bestFit="1" customWidth="1"/>
    <col min="26" max="26" width="17.83203125" bestFit="1" customWidth="1"/>
    <col min="27" max="27" width="15.33203125" bestFit="1" customWidth="1"/>
    <col min="28" max="28" width="26" bestFit="1" customWidth="1"/>
    <col min="29" max="29" width="18" bestFit="1" customWidth="1"/>
    <col min="30" max="30" width="17.33203125" bestFit="1" customWidth="1"/>
    <col min="31" max="31" width="16.33203125" bestFit="1" customWidth="1"/>
    <col min="32" max="32" width="18.6640625" bestFit="1" customWidth="1"/>
    <col min="33" max="33" width="16.33203125" bestFit="1" customWidth="1"/>
    <col min="34" max="34" width="18.6640625" bestFit="1" customWidth="1"/>
    <col min="35" max="35" width="18.83203125" bestFit="1" customWidth="1"/>
    <col min="36" max="36" width="18.1640625" bestFit="1" customWidth="1"/>
    <col min="37" max="37" width="17.6640625" bestFit="1" customWidth="1"/>
    <col min="38" max="38" width="15.1640625" bestFit="1" customWidth="1"/>
    <col min="39" max="39" width="17.6640625" bestFit="1" customWidth="1"/>
    <col min="40" max="40" width="15.33203125" bestFit="1" customWidth="1"/>
    <col min="41" max="41" width="17.83203125" bestFit="1" customWidth="1"/>
    <col min="42" max="42" width="17.1640625" bestFit="1" customWidth="1"/>
    <col min="43" max="43" width="18.33203125" bestFit="1" customWidth="1"/>
    <col min="44" max="44" width="15.83203125" bestFit="1" customWidth="1"/>
    <col min="45" max="45" width="18.33203125" bestFit="1" customWidth="1"/>
    <col min="46" max="46" width="16" bestFit="1" customWidth="1"/>
    <col min="47" max="47" width="18.5" bestFit="1" customWidth="1"/>
    <col min="48" max="48" width="17.83203125" bestFit="1" customWidth="1"/>
    <col min="49" max="49" width="17" bestFit="1" customWidth="1"/>
    <col min="50" max="50" width="19.33203125" bestFit="1" customWidth="1"/>
    <col min="51" max="51" width="17" bestFit="1" customWidth="1"/>
    <col min="52" max="52" width="19.33203125" bestFit="1" customWidth="1"/>
    <col min="53" max="53" width="17.83203125" bestFit="1" customWidth="1"/>
    <col min="54" max="54" width="19.1640625" bestFit="1" customWidth="1"/>
    <col min="55" max="55" width="16.83203125" bestFit="1" customWidth="1"/>
    <col min="56" max="56" width="19.1640625" bestFit="1" customWidth="1"/>
    <col min="57" max="57" width="20.33203125" bestFit="1" customWidth="1"/>
    <col min="58" max="58" width="17.6640625" bestFit="1" customWidth="1"/>
    <col min="59" max="59" width="17.33203125" bestFit="1" customWidth="1"/>
    <col min="60" max="60" width="19.6640625" bestFit="1" customWidth="1"/>
    <col min="61" max="61" width="17.33203125" bestFit="1" customWidth="1"/>
    <col min="62" max="62" width="19.6640625" bestFit="1" customWidth="1"/>
    <col min="63" max="63" width="19.5" bestFit="1" customWidth="1"/>
    <col min="64" max="64" width="17.1640625" bestFit="1" customWidth="1"/>
    <col min="65" max="65" width="19.5" bestFit="1" customWidth="1"/>
    <col min="66" max="66" width="17.33203125" bestFit="1" customWidth="1"/>
    <col min="67" max="67" width="18.6640625" bestFit="1" customWidth="1"/>
    <col min="68" max="68" width="25.33203125" bestFit="1" customWidth="1"/>
    <col min="69" max="69" width="23" bestFit="1" customWidth="1"/>
    <col min="70" max="70" width="25.33203125" bestFit="1" customWidth="1"/>
    <col min="71" max="71" width="17.33203125" bestFit="1" customWidth="1"/>
    <col min="72" max="72" width="20.1640625" bestFit="1" customWidth="1"/>
    <col min="73" max="73" width="17.83203125" bestFit="1" customWidth="1"/>
    <col min="74" max="74" width="15.5" bestFit="1" customWidth="1"/>
    <col min="75" max="75" width="16.33203125" bestFit="1" customWidth="1"/>
    <col min="76" max="76" width="21.1640625" bestFit="1" customWidth="1"/>
    <col min="77" max="77" width="18.5" bestFit="1" customWidth="1"/>
    <col min="78" max="78" width="12.1640625" bestFit="1" customWidth="1"/>
    <col min="79" max="79" width="12.6640625" bestFit="1" customWidth="1"/>
    <col min="80" max="80" width="10.33203125" customWidth="1"/>
  </cols>
  <sheetData>
    <row r="1" spans="1:8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4" t="s">
        <v>83</v>
      </c>
      <c r="CC1" s="4" t="s">
        <v>84</v>
      </c>
    </row>
    <row r="2" spans="1:81" x14ac:dyDescent="0.2">
      <c r="A2" s="2">
        <v>38353</v>
      </c>
      <c r="B2">
        <v>2005</v>
      </c>
      <c r="C2">
        <v>1</v>
      </c>
      <c r="E2">
        <v>6.4749999999999996</v>
      </c>
      <c r="F2">
        <v>17</v>
      </c>
      <c r="G2">
        <v>18.5</v>
      </c>
      <c r="J2">
        <v>4.8314000000000004</v>
      </c>
      <c r="K2">
        <v>1.2248000000000001</v>
      </c>
      <c r="L2">
        <v>1.3123</v>
      </c>
      <c r="M2">
        <v>103.34099999999999</v>
      </c>
      <c r="N2">
        <v>8.2765000000000004</v>
      </c>
      <c r="O2">
        <v>1.0714402350000001</v>
      </c>
      <c r="P2">
        <v>84.373775309999999</v>
      </c>
      <c r="Q2">
        <v>6.7574297840000002</v>
      </c>
      <c r="R2">
        <v>1306644</v>
      </c>
      <c r="S2">
        <v>6312857</v>
      </c>
      <c r="W2">
        <v>16375000</v>
      </c>
      <c r="X2">
        <v>26250000</v>
      </c>
      <c r="Y2">
        <v>1420.32</v>
      </c>
      <c r="Z2">
        <v>20.47</v>
      </c>
      <c r="AA2">
        <v>186.12</v>
      </c>
      <c r="AB2">
        <v>74.069999999999993</v>
      </c>
      <c r="AC2">
        <v>64.06</v>
      </c>
      <c r="AD2">
        <v>1765.04</v>
      </c>
      <c r="AE2">
        <v>23487495</v>
      </c>
      <c r="AF2">
        <v>361957</v>
      </c>
      <c r="AG2">
        <v>3351509</v>
      </c>
      <c r="AH2">
        <v>849078</v>
      </c>
      <c r="AI2">
        <v>1665560</v>
      </c>
      <c r="AJ2">
        <v>29715599</v>
      </c>
      <c r="AK2">
        <v>11</v>
      </c>
      <c r="AL2">
        <v>554</v>
      </c>
      <c r="AM2">
        <v>32</v>
      </c>
      <c r="AN2">
        <v>230</v>
      </c>
      <c r="AO2">
        <v>86</v>
      </c>
      <c r="AP2">
        <v>913</v>
      </c>
      <c r="AQ2">
        <v>208657</v>
      </c>
      <c r="AR2">
        <v>8055499</v>
      </c>
      <c r="AS2">
        <v>571305</v>
      </c>
      <c r="AT2">
        <v>2566013</v>
      </c>
      <c r="AU2">
        <v>1519862</v>
      </c>
      <c r="AV2">
        <v>12921336</v>
      </c>
      <c r="AW2">
        <v>7.5</v>
      </c>
      <c r="AX2">
        <v>8.02</v>
      </c>
      <c r="AY2">
        <v>8.17</v>
      </c>
      <c r="AZ2">
        <v>5.2</v>
      </c>
      <c r="BA2">
        <v>7.64</v>
      </c>
      <c r="BB2">
        <v>8.6</v>
      </c>
      <c r="BC2">
        <v>6.6</v>
      </c>
      <c r="BD2">
        <v>8.1</v>
      </c>
      <c r="BE2">
        <v>5.0599999999999996</v>
      </c>
      <c r="BF2">
        <v>6.42</v>
      </c>
      <c r="BG2">
        <v>0.80469999999999997</v>
      </c>
      <c r="BH2">
        <v>1.1599999999999999E-2</v>
      </c>
      <c r="BI2">
        <v>0.10539999999999999</v>
      </c>
      <c r="BJ2">
        <v>4.2000000000000003E-2</v>
      </c>
      <c r="BK2">
        <v>1.2E-2</v>
      </c>
      <c r="BL2">
        <v>0.60680000000000001</v>
      </c>
      <c r="BM2">
        <v>3.5000000000000003E-2</v>
      </c>
      <c r="BN2">
        <v>0.25190000000000001</v>
      </c>
      <c r="BO2">
        <v>-1.06</v>
      </c>
      <c r="BP2">
        <v>0.52</v>
      </c>
      <c r="BQ2">
        <v>0.67</v>
      </c>
      <c r="BR2">
        <v>-2.2999999999999998</v>
      </c>
      <c r="BS2">
        <v>16375000</v>
      </c>
      <c r="BT2">
        <v>430617.4</v>
      </c>
      <c r="BU2">
        <v>12.75</v>
      </c>
      <c r="BV2">
        <v>672603.11</v>
      </c>
      <c r="BW2">
        <v>15.03</v>
      </c>
      <c r="BZ2" s="5">
        <v>27101.45</v>
      </c>
      <c r="CA2" s="5">
        <v>16.399999999999999</v>
      </c>
      <c r="CB2" s="5">
        <v>27745.200000000001</v>
      </c>
      <c r="CC2" s="5">
        <v>6.11</v>
      </c>
    </row>
    <row r="3" spans="1:81" x14ac:dyDescent="0.2">
      <c r="A3" s="2">
        <v>38384</v>
      </c>
      <c r="B3">
        <v>2005</v>
      </c>
      <c r="C3">
        <v>2</v>
      </c>
      <c r="E3">
        <v>7.4939999999999998</v>
      </c>
      <c r="F3">
        <v>17.38</v>
      </c>
      <c r="G3">
        <v>18.5</v>
      </c>
      <c r="J3">
        <v>5.9151999999999996</v>
      </c>
      <c r="K3">
        <v>1.2401</v>
      </c>
      <c r="L3">
        <v>1.3012999999999999</v>
      </c>
      <c r="M3">
        <v>104.9442</v>
      </c>
      <c r="N3">
        <v>8.2765000000000004</v>
      </c>
      <c r="O3">
        <v>1.049350859</v>
      </c>
      <c r="P3">
        <v>84.625594710000001</v>
      </c>
      <c r="Q3">
        <v>6.6740585440000002</v>
      </c>
      <c r="R3">
        <v>589075</v>
      </c>
      <c r="S3">
        <v>3484474</v>
      </c>
      <c r="W3">
        <v>11500000</v>
      </c>
      <c r="X3">
        <v>26250000</v>
      </c>
      <c r="Y3">
        <v>1769.04</v>
      </c>
      <c r="Z3">
        <v>19.920000000000002</v>
      </c>
      <c r="AA3">
        <v>218.97</v>
      </c>
      <c r="AB3">
        <v>60.94</v>
      </c>
      <c r="AC3">
        <v>88.72</v>
      </c>
      <c r="AD3">
        <v>2157.59</v>
      </c>
      <c r="AE3">
        <v>32898625</v>
      </c>
      <c r="AF3">
        <v>366998</v>
      </c>
      <c r="AG3">
        <v>4178894</v>
      </c>
      <c r="AH3">
        <v>1374876</v>
      </c>
      <c r="AI3">
        <v>1408082</v>
      </c>
      <c r="AJ3">
        <v>40227475</v>
      </c>
      <c r="AK3">
        <v>4</v>
      </c>
      <c r="AL3">
        <v>508</v>
      </c>
      <c r="AM3">
        <v>21</v>
      </c>
      <c r="AN3">
        <v>14</v>
      </c>
      <c r="AO3">
        <v>60</v>
      </c>
      <c r="AP3">
        <v>607</v>
      </c>
      <c r="AQ3">
        <v>68411</v>
      </c>
      <c r="AR3">
        <v>7486191</v>
      </c>
      <c r="AS3">
        <v>419371</v>
      </c>
      <c r="AT3">
        <v>210417</v>
      </c>
      <c r="AU3">
        <v>998882</v>
      </c>
      <c r="AV3">
        <v>9183272</v>
      </c>
      <c r="AW3">
        <v>8.44</v>
      </c>
      <c r="AX3">
        <v>8.36</v>
      </c>
      <c r="AY3">
        <v>8.66</v>
      </c>
      <c r="AZ3">
        <v>10.23</v>
      </c>
      <c r="BA3">
        <v>8.4600000000000009</v>
      </c>
      <c r="BB3">
        <v>7.76</v>
      </c>
      <c r="BC3">
        <v>6.68</v>
      </c>
      <c r="BD3">
        <v>9.06</v>
      </c>
      <c r="BE3">
        <v>6.82</v>
      </c>
      <c r="BF3">
        <v>6.86</v>
      </c>
      <c r="BG3">
        <v>0.81989999999999996</v>
      </c>
      <c r="BH3">
        <v>9.1999999999999998E-3</v>
      </c>
      <c r="BI3">
        <v>0.10150000000000001</v>
      </c>
      <c r="BJ3">
        <v>2.8199999999999999E-2</v>
      </c>
      <c r="BK3">
        <v>6.6E-3</v>
      </c>
      <c r="BL3">
        <v>0.83689999999999998</v>
      </c>
      <c r="BM3">
        <v>3.4599999999999999E-2</v>
      </c>
      <c r="BN3">
        <v>2.3099999999999999E-2</v>
      </c>
      <c r="BO3">
        <v>0.02</v>
      </c>
      <c r="BP3">
        <v>-0.08</v>
      </c>
      <c r="BQ3">
        <v>0.22</v>
      </c>
      <c r="BR3">
        <v>1.8</v>
      </c>
      <c r="BS3">
        <v>11500000</v>
      </c>
      <c r="BT3">
        <v>209796.05</v>
      </c>
      <c r="BU3">
        <v>11.36</v>
      </c>
      <c r="BV3">
        <v>327855.65000000002</v>
      </c>
      <c r="BW3">
        <v>13.41</v>
      </c>
      <c r="BZ3" s="5">
        <v>8399.6200000000008</v>
      </c>
      <c r="CA3" s="5">
        <v>30.91</v>
      </c>
      <c r="CB3" s="5">
        <v>0</v>
      </c>
      <c r="CC3" s="5">
        <v>0</v>
      </c>
    </row>
    <row r="4" spans="1:81" x14ac:dyDescent="0.2">
      <c r="A4" s="2">
        <v>38412</v>
      </c>
      <c r="B4">
        <v>2005</v>
      </c>
      <c r="C4">
        <v>3</v>
      </c>
      <c r="E4">
        <v>8.0399999999999991</v>
      </c>
      <c r="F4">
        <v>17.5</v>
      </c>
      <c r="G4">
        <v>18.5</v>
      </c>
      <c r="J4">
        <v>6.6844999999999999</v>
      </c>
      <c r="K4">
        <v>1.216</v>
      </c>
      <c r="L4">
        <v>1.3185</v>
      </c>
      <c r="M4">
        <v>105.2543</v>
      </c>
      <c r="N4">
        <v>8.2765000000000004</v>
      </c>
      <c r="O4">
        <v>1.0842927630000001</v>
      </c>
      <c r="P4">
        <v>86.557812499999997</v>
      </c>
      <c r="Q4">
        <v>6.8063322370000003</v>
      </c>
      <c r="R4">
        <v>455276</v>
      </c>
      <c r="S4">
        <v>3043273</v>
      </c>
      <c r="W4">
        <v>6062500</v>
      </c>
      <c r="X4">
        <v>26250000</v>
      </c>
      <c r="Y4">
        <v>1567.18</v>
      </c>
      <c r="Z4">
        <v>19.02</v>
      </c>
      <c r="AA4">
        <v>210.32</v>
      </c>
      <c r="AB4">
        <v>46.54</v>
      </c>
      <c r="AC4">
        <v>111.72</v>
      </c>
      <c r="AD4">
        <v>1954.78</v>
      </c>
      <c r="AE4">
        <v>30664114</v>
      </c>
      <c r="AF4">
        <v>350653</v>
      </c>
      <c r="AG4">
        <v>4202823</v>
      </c>
      <c r="AH4">
        <v>1695100</v>
      </c>
      <c r="AI4">
        <v>1626270</v>
      </c>
      <c r="AJ4">
        <v>38538960</v>
      </c>
      <c r="AK4">
        <v>1</v>
      </c>
      <c r="AL4">
        <v>587</v>
      </c>
      <c r="AM4">
        <v>29</v>
      </c>
      <c r="AN4">
        <v>29</v>
      </c>
      <c r="AO4">
        <v>62</v>
      </c>
      <c r="AP4">
        <v>708</v>
      </c>
      <c r="AQ4">
        <v>31500</v>
      </c>
      <c r="AR4">
        <v>9298366</v>
      </c>
      <c r="AS4">
        <v>609917</v>
      </c>
      <c r="AT4">
        <v>491593</v>
      </c>
      <c r="AU4">
        <v>1178494</v>
      </c>
      <c r="AV4">
        <v>11609870</v>
      </c>
      <c r="AW4">
        <v>8.8800000000000008</v>
      </c>
      <c r="AX4">
        <v>8.36</v>
      </c>
      <c r="AY4">
        <v>9.06</v>
      </c>
      <c r="AZ4">
        <v>16.52</v>
      </c>
      <c r="BA4">
        <v>8.94</v>
      </c>
      <c r="BB4">
        <v>14.29</v>
      </c>
      <c r="BC4">
        <v>7.19</v>
      </c>
      <c r="BD4">
        <v>9.5399999999999991</v>
      </c>
      <c r="BE4">
        <v>7.69</v>
      </c>
      <c r="BF4">
        <v>7.44</v>
      </c>
      <c r="BG4">
        <v>0.80169999999999997</v>
      </c>
      <c r="BH4">
        <v>9.7000000000000003E-3</v>
      </c>
      <c r="BI4">
        <v>0.1076</v>
      </c>
      <c r="BJ4">
        <v>2.3800000000000002E-2</v>
      </c>
      <c r="BK4">
        <v>1.4E-3</v>
      </c>
      <c r="BL4">
        <v>0.82909999999999995</v>
      </c>
      <c r="BM4">
        <v>4.1000000000000002E-2</v>
      </c>
      <c r="BN4">
        <v>4.1000000000000002E-2</v>
      </c>
      <c r="BO4">
        <v>0.39</v>
      </c>
      <c r="BP4">
        <v>-0.52</v>
      </c>
      <c r="BQ4">
        <v>0.19</v>
      </c>
      <c r="BR4">
        <v>7.65</v>
      </c>
      <c r="BS4">
        <v>6062500</v>
      </c>
      <c r="BT4">
        <v>204992.18</v>
      </c>
      <c r="BU4">
        <v>6.53</v>
      </c>
      <c r="BV4">
        <v>126670.85</v>
      </c>
      <c r="BW4">
        <v>16.079999999999998</v>
      </c>
      <c r="BX4">
        <v>115171.5534</v>
      </c>
      <c r="BY4">
        <v>0.65651628200000001</v>
      </c>
      <c r="BZ4" s="5">
        <v>50578.49</v>
      </c>
      <c r="CA4" s="5">
        <v>2.12</v>
      </c>
      <c r="CB4" s="5">
        <v>22.05</v>
      </c>
      <c r="CC4" s="5">
        <v>6.86</v>
      </c>
    </row>
    <row r="5" spans="1:81" x14ac:dyDescent="0.2">
      <c r="A5" s="2">
        <v>38443</v>
      </c>
      <c r="B5">
        <v>2005</v>
      </c>
      <c r="C5">
        <v>4</v>
      </c>
      <c r="E5">
        <v>7.0880000000000001</v>
      </c>
      <c r="F5">
        <v>17.5</v>
      </c>
      <c r="G5">
        <v>18.5</v>
      </c>
      <c r="J5">
        <v>5.8727</v>
      </c>
      <c r="K5">
        <v>1.2359</v>
      </c>
      <c r="L5">
        <v>1.2943</v>
      </c>
      <c r="M5">
        <v>107.1938</v>
      </c>
      <c r="N5">
        <v>8.2765000000000004</v>
      </c>
      <c r="O5">
        <v>1.047253014</v>
      </c>
      <c r="P5">
        <v>86.733392670000001</v>
      </c>
      <c r="Q5">
        <v>6.6967392180000003</v>
      </c>
      <c r="R5">
        <v>1075281</v>
      </c>
      <c r="S5">
        <v>6314811</v>
      </c>
      <c r="W5">
        <v>2593750</v>
      </c>
      <c r="X5">
        <v>26250000</v>
      </c>
      <c r="Y5">
        <v>1737.94</v>
      </c>
      <c r="Z5">
        <v>17.86</v>
      </c>
      <c r="AA5">
        <v>199.64</v>
      </c>
      <c r="AB5">
        <v>53.26</v>
      </c>
      <c r="AC5">
        <v>96.78</v>
      </c>
      <c r="AD5">
        <v>2105.48</v>
      </c>
      <c r="AE5">
        <v>31328387</v>
      </c>
      <c r="AF5">
        <v>310610</v>
      </c>
      <c r="AG5">
        <v>3807671</v>
      </c>
      <c r="AH5">
        <v>1357693</v>
      </c>
      <c r="AI5">
        <v>1562658</v>
      </c>
      <c r="AJ5">
        <v>38367019</v>
      </c>
      <c r="AK5">
        <v>1</v>
      </c>
      <c r="AL5">
        <v>474</v>
      </c>
      <c r="AM5">
        <v>31</v>
      </c>
      <c r="AN5">
        <v>2</v>
      </c>
      <c r="AO5">
        <v>43</v>
      </c>
      <c r="AP5">
        <v>551</v>
      </c>
      <c r="AQ5">
        <v>11657</v>
      </c>
      <c r="AR5">
        <v>7081267</v>
      </c>
      <c r="AS5">
        <v>606227</v>
      </c>
      <c r="AT5">
        <v>27946</v>
      </c>
      <c r="AU5">
        <v>816076</v>
      </c>
      <c r="AV5">
        <v>8543173</v>
      </c>
      <c r="AW5">
        <v>8.18</v>
      </c>
      <c r="AX5">
        <v>7.89</v>
      </c>
      <c r="AY5">
        <v>8.65</v>
      </c>
      <c r="AZ5">
        <v>11.56</v>
      </c>
      <c r="BA5">
        <v>8.27</v>
      </c>
      <c r="BB5">
        <v>5.29</v>
      </c>
      <c r="BC5">
        <v>6.78</v>
      </c>
      <c r="BD5">
        <v>8.8699999999999992</v>
      </c>
      <c r="BE5">
        <v>6.34</v>
      </c>
      <c r="BF5">
        <v>7.03</v>
      </c>
      <c r="BG5">
        <v>0.82540000000000002</v>
      </c>
      <c r="BH5">
        <v>8.5000000000000006E-3</v>
      </c>
      <c r="BI5">
        <v>9.4799999999999995E-2</v>
      </c>
      <c r="BJ5">
        <v>2.53E-2</v>
      </c>
      <c r="BK5">
        <v>1.8E-3</v>
      </c>
      <c r="BL5">
        <v>0.86029999999999995</v>
      </c>
      <c r="BM5">
        <v>5.6300000000000003E-2</v>
      </c>
      <c r="BN5">
        <v>3.5999999999999999E-3</v>
      </c>
      <c r="BO5">
        <v>-0.28000000000000003</v>
      </c>
      <c r="BP5">
        <v>-0.28999999999999998</v>
      </c>
      <c r="BQ5">
        <v>0.47</v>
      </c>
      <c r="BR5">
        <v>3.39</v>
      </c>
      <c r="BS5">
        <v>2593750</v>
      </c>
      <c r="BT5">
        <v>160330.99</v>
      </c>
      <c r="BU5">
        <v>11.64</v>
      </c>
      <c r="BV5">
        <v>566.59</v>
      </c>
      <c r="BW5">
        <v>17.11</v>
      </c>
      <c r="BX5">
        <v>1164.03936</v>
      </c>
      <c r="BY5">
        <v>19.820635620000001</v>
      </c>
      <c r="BZ5" s="5">
        <v>1953.3</v>
      </c>
      <c r="CA5" s="5">
        <v>25.14</v>
      </c>
      <c r="CB5" s="5">
        <v>0</v>
      </c>
      <c r="CC5" s="5">
        <v>0</v>
      </c>
    </row>
    <row r="6" spans="1:81" x14ac:dyDescent="0.2">
      <c r="A6" s="2">
        <v>38473</v>
      </c>
      <c r="B6">
        <v>2005</v>
      </c>
      <c r="C6">
        <v>5</v>
      </c>
      <c r="E6">
        <v>6.2060000000000004</v>
      </c>
      <c r="F6">
        <v>17.2</v>
      </c>
      <c r="G6">
        <v>18.62</v>
      </c>
      <c r="J6">
        <v>5.0918999999999999</v>
      </c>
      <c r="K6">
        <v>1.2555000000000001</v>
      </c>
      <c r="L6">
        <v>1.2697000000000001</v>
      </c>
      <c r="M6">
        <v>106.59520000000001</v>
      </c>
      <c r="N6">
        <v>8.2765000000000004</v>
      </c>
      <c r="O6">
        <v>1.0113102350000001</v>
      </c>
      <c r="P6">
        <v>84.902588609999995</v>
      </c>
      <c r="Q6">
        <v>6.5921943450000002</v>
      </c>
      <c r="R6">
        <v>2410035</v>
      </c>
      <c r="S6">
        <v>12271603</v>
      </c>
      <c r="W6">
        <v>4520833.3</v>
      </c>
      <c r="X6">
        <v>26250000</v>
      </c>
      <c r="Y6">
        <v>2591.9499999999998</v>
      </c>
      <c r="Z6">
        <v>21.01</v>
      </c>
      <c r="AA6">
        <v>290.74</v>
      </c>
      <c r="AB6">
        <v>71.97</v>
      </c>
      <c r="AC6">
        <v>94.47</v>
      </c>
      <c r="AD6">
        <v>3070.14</v>
      </c>
      <c r="AE6">
        <v>41991601</v>
      </c>
      <c r="AF6">
        <v>326759</v>
      </c>
      <c r="AG6">
        <v>5142198</v>
      </c>
      <c r="AH6">
        <v>1479130</v>
      </c>
      <c r="AI6">
        <v>1582121</v>
      </c>
      <c r="AJ6">
        <v>50521809</v>
      </c>
      <c r="AK6">
        <v>0</v>
      </c>
      <c r="AL6">
        <v>716</v>
      </c>
      <c r="AM6">
        <v>25</v>
      </c>
      <c r="AN6">
        <v>49</v>
      </c>
      <c r="AO6">
        <v>64</v>
      </c>
      <c r="AP6">
        <v>854</v>
      </c>
      <c r="AQ6">
        <v>0</v>
      </c>
      <c r="AR6">
        <v>11135776</v>
      </c>
      <c r="AS6">
        <v>422552</v>
      </c>
      <c r="AT6">
        <v>581271</v>
      </c>
      <c r="AU6">
        <v>1067623</v>
      </c>
      <c r="AV6">
        <v>13207222</v>
      </c>
      <c r="AW6">
        <v>7.35</v>
      </c>
      <c r="AX6">
        <v>7.05</v>
      </c>
      <c r="AY6">
        <v>8.02</v>
      </c>
      <c r="AZ6">
        <v>9.32</v>
      </c>
      <c r="BA6">
        <v>7.46</v>
      </c>
      <c r="BC6">
        <v>7.05</v>
      </c>
      <c r="BD6">
        <v>7.67</v>
      </c>
      <c r="BE6">
        <v>5.38</v>
      </c>
      <c r="BF6">
        <v>7.01</v>
      </c>
      <c r="BG6">
        <v>0.84419999999999995</v>
      </c>
      <c r="BH6">
        <v>6.7999999999999996E-3</v>
      </c>
      <c r="BI6">
        <v>9.4700000000000006E-2</v>
      </c>
      <c r="BJ6">
        <v>2.3400000000000001E-2</v>
      </c>
      <c r="BK6">
        <v>0</v>
      </c>
      <c r="BL6">
        <v>0.83840000000000003</v>
      </c>
      <c r="BM6">
        <v>2.93E-2</v>
      </c>
      <c r="BN6">
        <v>5.74E-2</v>
      </c>
      <c r="BO6">
        <v>-0.47</v>
      </c>
      <c r="BP6">
        <v>-0.3</v>
      </c>
      <c r="BQ6">
        <v>0.67</v>
      </c>
      <c r="BR6">
        <v>1.97</v>
      </c>
      <c r="BS6">
        <v>4520833.3</v>
      </c>
      <c r="BT6">
        <v>1537896.61</v>
      </c>
      <c r="BU6">
        <v>11.89</v>
      </c>
      <c r="BV6">
        <v>109615.91</v>
      </c>
      <c r="BW6">
        <v>12.28</v>
      </c>
      <c r="BZ6" s="5">
        <v>137224.64000000001</v>
      </c>
      <c r="CA6" s="5">
        <v>5.29</v>
      </c>
      <c r="CB6" s="5">
        <v>403022.98</v>
      </c>
      <c r="CC6" s="5">
        <v>6.7</v>
      </c>
    </row>
    <row r="7" spans="1:81" x14ac:dyDescent="0.2">
      <c r="A7" s="2">
        <v>38504</v>
      </c>
      <c r="B7">
        <v>2005</v>
      </c>
      <c r="C7">
        <v>6</v>
      </c>
      <c r="E7">
        <v>6.7</v>
      </c>
      <c r="F7">
        <v>17.25</v>
      </c>
      <c r="G7">
        <v>18.75</v>
      </c>
      <c r="J7">
        <v>5.3883000000000001</v>
      </c>
      <c r="K7">
        <v>1.2402</v>
      </c>
      <c r="L7">
        <v>1.2155</v>
      </c>
      <c r="M7">
        <v>108.7473</v>
      </c>
      <c r="N7">
        <v>8.2765000000000004</v>
      </c>
      <c r="O7">
        <v>0.980083857</v>
      </c>
      <c r="P7">
        <v>87.685292689999997</v>
      </c>
      <c r="Q7">
        <v>6.6735204000000001</v>
      </c>
      <c r="R7">
        <v>2743911</v>
      </c>
      <c r="S7">
        <v>14784910</v>
      </c>
      <c r="W7">
        <v>19718750</v>
      </c>
      <c r="X7">
        <v>26250000</v>
      </c>
      <c r="Y7">
        <v>3168</v>
      </c>
      <c r="Z7">
        <v>25.61</v>
      </c>
      <c r="AA7">
        <v>290.32</v>
      </c>
      <c r="AB7">
        <v>70.010000000000005</v>
      </c>
      <c r="AC7">
        <v>101.91</v>
      </c>
      <c r="AD7">
        <v>3655.85</v>
      </c>
      <c r="AE7">
        <v>52251641</v>
      </c>
      <c r="AF7">
        <v>451008</v>
      </c>
      <c r="AG7">
        <v>5062154</v>
      </c>
      <c r="AH7">
        <v>1553643</v>
      </c>
      <c r="AI7">
        <v>1638619</v>
      </c>
      <c r="AJ7">
        <v>60957065</v>
      </c>
      <c r="AK7">
        <v>0</v>
      </c>
      <c r="AL7">
        <v>552</v>
      </c>
      <c r="AM7">
        <v>23</v>
      </c>
      <c r="AN7">
        <v>51</v>
      </c>
      <c r="AO7">
        <v>38</v>
      </c>
      <c r="AP7">
        <v>664</v>
      </c>
      <c r="AQ7">
        <v>0</v>
      </c>
      <c r="AR7">
        <v>8482196</v>
      </c>
      <c r="AS7">
        <v>382138</v>
      </c>
      <c r="AT7">
        <v>659255</v>
      </c>
      <c r="AU7">
        <v>637870</v>
      </c>
      <c r="AV7">
        <v>10161459</v>
      </c>
      <c r="AW7">
        <v>7.48</v>
      </c>
      <c r="AX7">
        <v>7.99</v>
      </c>
      <c r="AY7">
        <v>7.91</v>
      </c>
      <c r="AZ7">
        <v>10.07</v>
      </c>
      <c r="BA7">
        <v>7.56</v>
      </c>
      <c r="BC7">
        <v>6.97</v>
      </c>
      <c r="BD7">
        <v>7.54</v>
      </c>
      <c r="BE7">
        <v>5.86</v>
      </c>
      <c r="BF7">
        <v>6.94</v>
      </c>
      <c r="BG7">
        <v>0.86660000000000004</v>
      </c>
      <c r="BH7">
        <v>7.0000000000000001E-3</v>
      </c>
      <c r="BI7">
        <v>7.9399999999999998E-2</v>
      </c>
      <c r="BJ7">
        <v>1.9199999999999998E-2</v>
      </c>
      <c r="BK7">
        <v>0</v>
      </c>
      <c r="BL7">
        <v>0.83130000000000004</v>
      </c>
      <c r="BM7">
        <v>3.4599999999999999E-2</v>
      </c>
      <c r="BN7">
        <v>7.6799999999999993E-2</v>
      </c>
      <c r="BO7">
        <v>-0.17</v>
      </c>
      <c r="BP7">
        <v>0.51</v>
      </c>
      <c r="BQ7">
        <v>0.43</v>
      </c>
      <c r="BR7">
        <v>2.58</v>
      </c>
      <c r="BS7">
        <v>19718750</v>
      </c>
      <c r="BT7">
        <v>2369668.88</v>
      </c>
      <c r="BU7">
        <v>12.62</v>
      </c>
      <c r="BV7">
        <v>1716190.85</v>
      </c>
      <c r="BW7">
        <v>13.85</v>
      </c>
      <c r="BX7">
        <v>72730.413799999995</v>
      </c>
      <c r="BY7">
        <v>3.4754373969999999</v>
      </c>
      <c r="BZ7" s="5">
        <v>317501.19</v>
      </c>
      <c r="CA7" s="5">
        <v>7.02</v>
      </c>
      <c r="CB7" s="5">
        <v>1450382.72</v>
      </c>
      <c r="CC7" s="5">
        <v>5.9</v>
      </c>
    </row>
    <row r="8" spans="1:81" x14ac:dyDescent="0.2">
      <c r="A8" s="2">
        <v>38534</v>
      </c>
      <c r="B8">
        <v>2005</v>
      </c>
      <c r="C8">
        <v>7</v>
      </c>
      <c r="E8">
        <v>7.2750000000000004</v>
      </c>
      <c r="F8">
        <v>17.25</v>
      </c>
      <c r="G8">
        <v>18.97</v>
      </c>
      <c r="J8">
        <v>4.8079000000000001</v>
      </c>
      <c r="K8">
        <v>1.2229000000000001</v>
      </c>
      <c r="L8">
        <v>1.2040999999999999</v>
      </c>
      <c r="M8">
        <v>111.95350000000001</v>
      </c>
      <c r="N8">
        <v>8.2263999999999999</v>
      </c>
      <c r="O8">
        <v>0.98462670699999999</v>
      </c>
      <c r="P8">
        <v>91.547550900000005</v>
      </c>
      <c r="Q8">
        <v>6.726960504</v>
      </c>
      <c r="R8">
        <v>5397526</v>
      </c>
      <c r="S8">
        <v>25950608</v>
      </c>
      <c r="W8">
        <v>21750000</v>
      </c>
      <c r="X8">
        <v>26250000</v>
      </c>
      <c r="Y8">
        <v>1690.78</v>
      </c>
      <c r="Z8">
        <v>21.47</v>
      </c>
      <c r="AA8">
        <v>169.85</v>
      </c>
      <c r="AB8">
        <v>79.760000000000005</v>
      </c>
      <c r="AC8">
        <v>84.49</v>
      </c>
      <c r="AD8">
        <v>2046.35</v>
      </c>
      <c r="AE8">
        <v>29673261</v>
      </c>
      <c r="AF8">
        <v>383646</v>
      </c>
      <c r="AG8">
        <v>3179916</v>
      </c>
      <c r="AH8">
        <v>1326437</v>
      </c>
      <c r="AI8">
        <v>1831581</v>
      </c>
      <c r="AJ8">
        <v>36394841</v>
      </c>
      <c r="AK8">
        <v>0</v>
      </c>
      <c r="AL8">
        <v>605</v>
      </c>
      <c r="AM8">
        <v>20</v>
      </c>
      <c r="AN8">
        <v>502</v>
      </c>
      <c r="AO8">
        <v>38</v>
      </c>
      <c r="AP8">
        <v>1165</v>
      </c>
      <c r="AQ8">
        <v>0</v>
      </c>
      <c r="AR8">
        <v>9853609</v>
      </c>
      <c r="AS8">
        <v>385389</v>
      </c>
      <c r="AT8">
        <v>5598505</v>
      </c>
      <c r="AU8">
        <v>653563</v>
      </c>
      <c r="AV8">
        <v>16491066</v>
      </c>
      <c r="AW8">
        <v>7.96</v>
      </c>
      <c r="AX8">
        <v>8.11</v>
      </c>
      <c r="AY8">
        <v>8.49</v>
      </c>
      <c r="AZ8">
        <v>7.54</v>
      </c>
      <c r="BA8">
        <v>8.07</v>
      </c>
      <c r="BC8">
        <v>7.39</v>
      </c>
      <c r="BD8">
        <v>8.74</v>
      </c>
      <c r="BE8">
        <v>5.0599999999999996</v>
      </c>
      <c r="BF8">
        <v>6.42</v>
      </c>
      <c r="BG8">
        <v>0.82620000000000005</v>
      </c>
      <c r="BH8">
        <v>1.0500000000000001E-2</v>
      </c>
      <c r="BI8">
        <v>8.3000000000000004E-2</v>
      </c>
      <c r="BJ8">
        <v>3.9E-2</v>
      </c>
      <c r="BK8">
        <v>0</v>
      </c>
      <c r="BL8">
        <v>0.51929999999999998</v>
      </c>
      <c r="BM8">
        <v>1.72E-2</v>
      </c>
      <c r="BN8">
        <v>0.43090000000000001</v>
      </c>
      <c r="BO8">
        <v>-1.45</v>
      </c>
      <c r="BP8">
        <v>0.15</v>
      </c>
      <c r="BQ8">
        <v>0.53</v>
      </c>
      <c r="BR8">
        <v>-0.42</v>
      </c>
      <c r="BS8">
        <v>21750000</v>
      </c>
      <c r="BT8">
        <v>696346.86</v>
      </c>
      <c r="BU8">
        <v>13.31</v>
      </c>
      <c r="BV8">
        <v>3218690.09</v>
      </c>
      <c r="BW8">
        <v>12.4</v>
      </c>
      <c r="BZ8" s="5">
        <v>454754.49</v>
      </c>
      <c r="CA8" s="5">
        <v>6.85</v>
      </c>
      <c r="CB8" s="5">
        <v>717510.45</v>
      </c>
      <c r="CC8" s="5">
        <v>5.79</v>
      </c>
    </row>
    <row r="9" spans="1:81" x14ac:dyDescent="0.2">
      <c r="A9" s="2">
        <v>38565</v>
      </c>
      <c r="B9">
        <v>2005</v>
      </c>
      <c r="C9">
        <v>8</v>
      </c>
      <c r="E9">
        <v>7.2</v>
      </c>
      <c r="F9">
        <v>17.25</v>
      </c>
      <c r="G9">
        <v>19</v>
      </c>
      <c r="J9">
        <v>4.5056000000000003</v>
      </c>
      <c r="K9">
        <v>1.2042999999999999</v>
      </c>
      <c r="L9">
        <v>1.2295</v>
      </c>
      <c r="M9">
        <v>110.6065</v>
      </c>
      <c r="N9">
        <v>8.1016999999999992</v>
      </c>
      <c r="O9">
        <v>1.0209250190000001</v>
      </c>
      <c r="P9">
        <v>91.842979319999998</v>
      </c>
      <c r="Q9">
        <v>6.727310471</v>
      </c>
      <c r="R9">
        <v>10076192</v>
      </c>
      <c r="S9">
        <v>45399057</v>
      </c>
      <c r="W9">
        <v>12512561.300000001</v>
      </c>
      <c r="X9">
        <v>26250000</v>
      </c>
      <c r="Y9">
        <v>1346.73</v>
      </c>
      <c r="Z9">
        <v>23.76</v>
      </c>
      <c r="AA9">
        <v>198.88</v>
      </c>
      <c r="AB9">
        <v>68.260000000000005</v>
      </c>
      <c r="AC9">
        <v>78.989999999999995</v>
      </c>
      <c r="AD9">
        <v>1716.62</v>
      </c>
      <c r="AE9">
        <v>24321876</v>
      </c>
      <c r="AF9">
        <v>414142</v>
      </c>
      <c r="AG9">
        <v>3813371</v>
      </c>
      <c r="AH9">
        <v>1128151</v>
      </c>
      <c r="AI9">
        <v>1876196</v>
      </c>
      <c r="AJ9">
        <v>31553736</v>
      </c>
      <c r="AK9">
        <v>1</v>
      </c>
      <c r="AL9">
        <v>649</v>
      </c>
      <c r="AM9">
        <v>21</v>
      </c>
      <c r="AN9">
        <v>1314</v>
      </c>
      <c r="AO9">
        <v>45</v>
      </c>
      <c r="AP9">
        <v>2030</v>
      </c>
      <c r="AQ9">
        <v>20828</v>
      </c>
      <c r="AR9">
        <v>10524117</v>
      </c>
      <c r="AS9">
        <v>397407</v>
      </c>
      <c r="AT9">
        <v>14598723</v>
      </c>
      <c r="AU9">
        <v>802488</v>
      </c>
      <c r="AV9">
        <v>26343563</v>
      </c>
      <c r="AW9">
        <v>8.19</v>
      </c>
      <c r="AX9">
        <v>7.91</v>
      </c>
      <c r="AY9">
        <v>8.6999999999999993</v>
      </c>
      <c r="AZ9">
        <v>7.5</v>
      </c>
      <c r="BA9">
        <v>8.34</v>
      </c>
      <c r="BB9">
        <v>9.4499999999999993</v>
      </c>
      <c r="BC9">
        <v>7.36</v>
      </c>
      <c r="BD9">
        <v>8.58</v>
      </c>
      <c r="BE9">
        <v>5.04</v>
      </c>
      <c r="BF9">
        <v>5.89</v>
      </c>
      <c r="BG9">
        <v>0.78449999999999998</v>
      </c>
      <c r="BH9">
        <v>1.38E-2</v>
      </c>
      <c r="BI9">
        <v>0.1159</v>
      </c>
      <c r="BJ9">
        <v>3.9800000000000002E-2</v>
      </c>
      <c r="BK9">
        <v>5.0000000000000001E-4</v>
      </c>
      <c r="BL9">
        <v>0.31969999999999998</v>
      </c>
      <c r="BM9">
        <v>1.03E-2</v>
      </c>
      <c r="BN9">
        <v>0.64729999999999999</v>
      </c>
      <c r="BO9">
        <v>-1.76</v>
      </c>
      <c r="BP9">
        <v>-0.28000000000000003</v>
      </c>
      <c r="BQ9">
        <v>0.51</v>
      </c>
      <c r="BR9">
        <v>-0.7</v>
      </c>
      <c r="BS9">
        <v>12512561.300000001</v>
      </c>
      <c r="BT9">
        <v>792754.9</v>
      </c>
      <c r="BU9">
        <v>12.38</v>
      </c>
      <c r="BV9">
        <v>139742.04</v>
      </c>
      <c r="BW9">
        <v>4.8099999999999996</v>
      </c>
      <c r="BX9">
        <v>36376.230000000003</v>
      </c>
      <c r="BY9">
        <v>5.1379980830000003</v>
      </c>
      <c r="BZ9" s="5">
        <v>343738.43</v>
      </c>
      <c r="CA9" s="5">
        <v>7.77</v>
      </c>
      <c r="CB9" s="5">
        <v>291142.7</v>
      </c>
      <c r="CC9" s="5">
        <v>6.71</v>
      </c>
    </row>
    <row r="10" spans="1:81" x14ac:dyDescent="0.2">
      <c r="A10" s="2">
        <v>38596</v>
      </c>
      <c r="B10">
        <v>2005</v>
      </c>
      <c r="C10">
        <v>9</v>
      </c>
      <c r="E10">
        <v>6.6109999999999998</v>
      </c>
      <c r="F10">
        <v>17.25</v>
      </c>
      <c r="G10">
        <v>19.079999999999998</v>
      </c>
      <c r="J10">
        <v>4.5885999999999996</v>
      </c>
      <c r="K10">
        <v>1.1777</v>
      </c>
      <c r="L10">
        <v>1.2234</v>
      </c>
      <c r="M10">
        <v>111.239</v>
      </c>
      <c r="N10">
        <v>8.0919000000000008</v>
      </c>
      <c r="O10">
        <v>1.0388044489999999</v>
      </c>
      <c r="P10">
        <v>94.454445100000001</v>
      </c>
      <c r="Q10">
        <v>6.8709348730000004</v>
      </c>
      <c r="R10">
        <v>13126930</v>
      </c>
      <c r="S10">
        <v>60234641</v>
      </c>
      <c r="W10">
        <v>7246074.7999999998</v>
      </c>
      <c r="X10">
        <v>26250000</v>
      </c>
      <c r="Y10">
        <v>647.92999999999995</v>
      </c>
      <c r="Z10">
        <v>29.2</v>
      </c>
      <c r="AA10">
        <v>138.13999999999999</v>
      </c>
      <c r="AB10">
        <v>50.42</v>
      </c>
      <c r="AC10">
        <v>75.55</v>
      </c>
      <c r="AD10">
        <v>941.24</v>
      </c>
      <c r="AE10">
        <v>12036668</v>
      </c>
      <c r="AF10">
        <v>560615</v>
      </c>
      <c r="AG10">
        <v>2714084</v>
      </c>
      <c r="AH10">
        <v>1166831</v>
      </c>
      <c r="AI10">
        <v>1480885</v>
      </c>
      <c r="AJ10">
        <v>17959083</v>
      </c>
      <c r="AK10">
        <v>1</v>
      </c>
      <c r="AL10">
        <v>557</v>
      </c>
      <c r="AM10">
        <v>39</v>
      </c>
      <c r="AN10">
        <v>2891</v>
      </c>
      <c r="AO10">
        <v>43</v>
      </c>
      <c r="AP10">
        <v>3531</v>
      </c>
      <c r="AQ10">
        <v>9802</v>
      </c>
      <c r="AR10">
        <v>9062166</v>
      </c>
      <c r="AS10">
        <v>716942</v>
      </c>
      <c r="AT10">
        <v>32205613</v>
      </c>
      <c r="AU10">
        <v>867965</v>
      </c>
      <c r="AV10">
        <v>42862488</v>
      </c>
      <c r="AW10">
        <v>8.43</v>
      </c>
      <c r="AX10">
        <v>8.7100000000000009</v>
      </c>
      <c r="AY10">
        <v>8.91</v>
      </c>
      <c r="AZ10">
        <v>10.5</v>
      </c>
      <c r="BA10">
        <v>8.65</v>
      </c>
      <c r="BB10">
        <v>4.45</v>
      </c>
      <c r="BC10">
        <v>7.38</v>
      </c>
      <c r="BD10">
        <v>8.34</v>
      </c>
      <c r="BE10">
        <v>5.05</v>
      </c>
      <c r="BF10">
        <v>5.51</v>
      </c>
      <c r="BG10">
        <v>0.68840000000000001</v>
      </c>
      <c r="BH10">
        <v>3.1E-2</v>
      </c>
      <c r="BI10">
        <v>0.14680000000000001</v>
      </c>
      <c r="BJ10">
        <v>5.3600000000000002E-2</v>
      </c>
      <c r="BK10">
        <v>2.9999999999999997E-4</v>
      </c>
      <c r="BL10">
        <v>0.15770000000000001</v>
      </c>
      <c r="BM10">
        <v>1.0999999999999999E-2</v>
      </c>
      <c r="BN10">
        <v>0.81869999999999998</v>
      </c>
      <c r="BO10">
        <v>-2.1</v>
      </c>
      <c r="BP10">
        <v>0.28000000000000003</v>
      </c>
      <c r="BQ10">
        <v>0.49</v>
      </c>
      <c r="BR10">
        <v>2.0699999999999998</v>
      </c>
      <c r="BS10">
        <v>7246074.7999999998</v>
      </c>
      <c r="BT10">
        <v>883378.01</v>
      </c>
      <c r="BU10">
        <v>12.32</v>
      </c>
      <c r="BV10">
        <v>933358.95</v>
      </c>
      <c r="BW10">
        <v>13.18</v>
      </c>
      <c r="BZ10" s="5">
        <v>173530.4</v>
      </c>
      <c r="CA10" s="5">
        <v>7.15</v>
      </c>
      <c r="CB10" s="5">
        <v>492451.37</v>
      </c>
      <c r="CC10" s="5">
        <v>5.59</v>
      </c>
    </row>
    <row r="11" spans="1:81" x14ac:dyDescent="0.2">
      <c r="A11" s="2">
        <v>38626</v>
      </c>
      <c r="B11">
        <v>2005</v>
      </c>
      <c r="C11">
        <v>10</v>
      </c>
      <c r="E11">
        <v>6.75</v>
      </c>
      <c r="F11">
        <v>17.59</v>
      </c>
      <c r="G11">
        <v>19.38</v>
      </c>
      <c r="J11">
        <v>4.5050999999999997</v>
      </c>
      <c r="K11">
        <v>1.1774</v>
      </c>
      <c r="L11">
        <v>1.2021999999999999</v>
      </c>
      <c r="M11">
        <v>114.8695</v>
      </c>
      <c r="N11">
        <v>8.0894999999999992</v>
      </c>
      <c r="O11">
        <v>1.0210633600000001</v>
      </c>
      <c r="P11">
        <v>97.562001019999997</v>
      </c>
      <c r="Q11">
        <v>6.8706471889999996</v>
      </c>
      <c r="R11">
        <v>14698512</v>
      </c>
      <c r="S11">
        <v>66218059</v>
      </c>
      <c r="W11">
        <v>3400000</v>
      </c>
      <c r="X11">
        <v>26250000</v>
      </c>
      <c r="Y11">
        <v>496.35</v>
      </c>
      <c r="Z11">
        <v>20.309999999999999</v>
      </c>
      <c r="AA11">
        <v>165.44</v>
      </c>
      <c r="AB11">
        <v>53.97</v>
      </c>
      <c r="AC11">
        <v>73.45</v>
      </c>
      <c r="AD11">
        <v>809.52</v>
      </c>
      <c r="AE11">
        <v>8648060</v>
      </c>
      <c r="AF11">
        <v>400634</v>
      </c>
      <c r="AG11">
        <v>3343346</v>
      </c>
      <c r="AH11">
        <v>1186943</v>
      </c>
      <c r="AI11">
        <v>1575665</v>
      </c>
      <c r="AJ11">
        <v>15154648</v>
      </c>
      <c r="AK11">
        <v>10</v>
      </c>
      <c r="AL11">
        <v>924</v>
      </c>
      <c r="AM11">
        <v>56</v>
      </c>
      <c r="AN11">
        <v>4602</v>
      </c>
      <c r="AO11">
        <v>89</v>
      </c>
      <c r="AP11">
        <v>5681</v>
      </c>
      <c r="AQ11">
        <v>199658</v>
      </c>
      <c r="AR11">
        <v>14632085</v>
      </c>
      <c r="AS11">
        <v>1066788</v>
      </c>
      <c r="AT11">
        <v>52230896</v>
      </c>
      <c r="AU11">
        <v>1754205</v>
      </c>
      <c r="AV11">
        <v>69883632</v>
      </c>
      <c r="AW11">
        <v>7.9</v>
      </c>
      <c r="AX11">
        <v>8.9499999999999993</v>
      </c>
      <c r="AY11">
        <v>9.17</v>
      </c>
      <c r="AZ11">
        <v>9.98</v>
      </c>
      <c r="BA11">
        <v>8.49</v>
      </c>
      <c r="BB11">
        <v>9.06</v>
      </c>
      <c r="BC11">
        <v>7.18</v>
      </c>
      <c r="BD11">
        <v>8.64</v>
      </c>
      <c r="BE11">
        <v>5.15</v>
      </c>
      <c r="BF11">
        <v>5.58</v>
      </c>
      <c r="BG11">
        <v>0.61309999999999998</v>
      </c>
      <c r="BH11">
        <v>2.5100000000000001E-2</v>
      </c>
      <c r="BI11">
        <v>0.2044</v>
      </c>
      <c r="BJ11">
        <v>6.6699999999999995E-2</v>
      </c>
      <c r="BK11">
        <v>1.8E-3</v>
      </c>
      <c r="BL11">
        <v>0.16259999999999999</v>
      </c>
      <c r="BM11">
        <v>9.9000000000000008E-3</v>
      </c>
      <c r="BN11">
        <v>0.81010000000000004</v>
      </c>
      <c r="BO11">
        <v>-1.56</v>
      </c>
      <c r="BP11">
        <v>1.05</v>
      </c>
      <c r="BQ11">
        <v>1.26</v>
      </c>
      <c r="BR11">
        <v>2.0699999999999998</v>
      </c>
      <c r="BS11">
        <v>3400000</v>
      </c>
      <c r="BT11">
        <v>1201980.8700000001</v>
      </c>
      <c r="BU11">
        <v>13.09</v>
      </c>
      <c r="BV11">
        <v>1849.68</v>
      </c>
      <c r="BW11">
        <v>6.89</v>
      </c>
      <c r="BZ11" s="5">
        <v>157577.74</v>
      </c>
      <c r="CA11" s="5">
        <v>8.26</v>
      </c>
      <c r="CB11" s="5">
        <v>306348</v>
      </c>
      <c r="CC11" s="5">
        <v>5.33</v>
      </c>
    </row>
    <row r="12" spans="1:81" x14ac:dyDescent="0.2">
      <c r="A12" s="2">
        <v>38657</v>
      </c>
      <c r="B12">
        <v>2005</v>
      </c>
      <c r="C12">
        <v>11</v>
      </c>
      <c r="E12">
        <v>5.6559999999999997</v>
      </c>
      <c r="F12">
        <v>17.75</v>
      </c>
      <c r="G12">
        <v>19.5</v>
      </c>
      <c r="J12">
        <v>4.3263999999999996</v>
      </c>
      <c r="K12">
        <v>1.1815</v>
      </c>
      <c r="L12">
        <v>1.1789000000000001</v>
      </c>
      <c r="M12">
        <v>118.45399999999999</v>
      </c>
      <c r="N12">
        <v>8.0839999999999996</v>
      </c>
      <c r="O12">
        <v>0.997799408</v>
      </c>
      <c r="P12">
        <v>100.2573</v>
      </c>
      <c r="Q12">
        <v>6.8421498100000004</v>
      </c>
      <c r="R12">
        <v>12608919</v>
      </c>
      <c r="S12">
        <v>54550610</v>
      </c>
      <c r="W12">
        <v>4843750</v>
      </c>
      <c r="X12">
        <v>26250000</v>
      </c>
      <c r="Y12">
        <v>702.68</v>
      </c>
      <c r="Z12">
        <v>31</v>
      </c>
      <c r="AA12">
        <v>202.57</v>
      </c>
      <c r="AB12">
        <v>50.31</v>
      </c>
      <c r="AC12">
        <v>32.81</v>
      </c>
      <c r="AD12">
        <v>1019.37</v>
      </c>
      <c r="AE12">
        <v>10917240</v>
      </c>
      <c r="AF12">
        <v>549796</v>
      </c>
      <c r="AG12">
        <v>3675398</v>
      </c>
      <c r="AH12">
        <v>250219</v>
      </c>
      <c r="AI12">
        <v>1497895</v>
      </c>
      <c r="AJ12">
        <v>16890548</v>
      </c>
      <c r="AK12">
        <v>20</v>
      </c>
      <c r="AL12">
        <v>612</v>
      </c>
      <c r="AM12">
        <v>76</v>
      </c>
      <c r="AN12">
        <v>4463</v>
      </c>
      <c r="AO12">
        <v>59</v>
      </c>
      <c r="AP12">
        <v>5230</v>
      </c>
      <c r="AQ12">
        <v>403238</v>
      </c>
      <c r="AR12">
        <v>10111699</v>
      </c>
      <c r="AS12">
        <v>1378572</v>
      </c>
      <c r="AT12">
        <v>49631733</v>
      </c>
      <c r="AU12">
        <v>985111</v>
      </c>
      <c r="AV12">
        <v>62510353</v>
      </c>
      <c r="AW12">
        <v>7.05</v>
      </c>
      <c r="AX12">
        <v>8.0399999999999991</v>
      </c>
      <c r="AY12">
        <v>8.23</v>
      </c>
      <c r="AZ12">
        <v>2.2599999999999998</v>
      </c>
      <c r="BA12">
        <v>7.52</v>
      </c>
      <c r="BB12">
        <v>9.15</v>
      </c>
      <c r="BC12">
        <v>7.49</v>
      </c>
      <c r="BD12">
        <v>8.23</v>
      </c>
      <c r="BE12">
        <v>5.04</v>
      </c>
      <c r="BF12">
        <v>5.42</v>
      </c>
      <c r="BG12">
        <v>0.68930000000000002</v>
      </c>
      <c r="BH12">
        <v>3.04E-2</v>
      </c>
      <c r="BI12">
        <v>0.19869999999999999</v>
      </c>
      <c r="BJ12">
        <v>4.9399999999999999E-2</v>
      </c>
      <c r="BK12">
        <v>3.8E-3</v>
      </c>
      <c r="BL12">
        <v>0.11700000000000001</v>
      </c>
      <c r="BM12">
        <v>1.4500000000000001E-2</v>
      </c>
      <c r="BN12">
        <v>0.85329999999999995</v>
      </c>
      <c r="BO12">
        <v>-0.92</v>
      </c>
      <c r="BP12">
        <v>0.99</v>
      </c>
      <c r="BQ12">
        <v>1.18</v>
      </c>
      <c r="BR12">
        <v>-4.79</v>
      </c>
      <c r="BS12">
        <v>4843750</v>
      </c>
      <c r="BT12">
        <v>1597606.54</v>
      </c>
      <c r="BU12">
        <v>13.3</v>
      </c>
      <c r="BV12">
        <v>861422.2</v>
      </c>
      <c r="BW12">
        <v>13.31</v>
      </c>
      <c r="BZ12" s="5">
        <v>219373.36</v>
      </c>
      <c r="CA12" s="5">
        <v>5.38</v>
      </c>
      <c r="CB12" s="5">
        <v>185175.22</v>
      </c>
      <c r="CC12" s="5">
        <v>5.46</v>
      </c>
    </row>
    <row r="13" spans="1:81" x14ac:dyDescent="0.2">
      <c r="A13" s="2">
        <v>38687</v>
      </c>
      <c r="B13">
        <v>2005</v>
      </c>
      <c r="C13">
        <v>12</v>
      </c>
      <c r="E13">
        <v>5.9109999999999996</v>
      </c>
      <c r="F13">
        <v>17.75</v>
      </c>
      <c r="G13">
        <v>19.5</v>
      </c>
      <c r="J13">
        <v>4.5698999999999996</v>
      </c>
      <c r="K13">
        <v>1.1615</v>
      </c>
      <c r="L13">
        <v>1.1860999999999999</v>
      </c>
      <c r="M13">
        <v>118.4624</v>
      </c>
      <c r="N13">
        <v>8.0754999999999999</v>
      </c>
      <c r="O13">
        <v>1.021179509</v>
      </c>
      <c r="P13">
        <v>101.9908739</v>
      </c>
      <c r="Q13">
        <v>6.9526474389999997</v>
      </c>
      <c r="R13">
        <v>4241560</v>
      </c>
      <c r="S13">
        <v>19383433</v>
      </c>
      <c r="W13">
        <v>19187500</v>
      </c>
      <c r="X13">
        <v>26250000</v>
      </c>
      <c r="Y13">
        <v>3865.31</v>
      </c>
      <c r="Z13">
        <v>34.770000000000003</v>
      </c>
      <c r="AA13">
        <v>830.91</v>
      </c>
      <c r="AB13">
        <v>104.09</v>
      </c>
      <c r="AC13">
        <v>163.47999999999999</v>
      </c>
      <c r="AD13">
        <v>4998.5600000000004</v>
      </c>
      <c r="AE13">
        <v>63897245</v>
      </c>
      <c r="AF13">
        <v>646544</v>
      </c>
      <c r="AG13">
        <v>15911353</v>
      </c>
      <c r="AH13">
        <v>2457640</v>
      </c>
      <c r="AI13">
        <v>2816631</v>
      </c>
      <c r="AJ13">
        <v>85729413</v>
      </c>
      <c r="AK13">
        <v>8</v>
      </c>
      <c r="AL13">
        <v>1612</v>
      </c>
      <c r="AM13">
        <v>46</v>
      </c>
      <c r="AN13">
        <v>690</v>
      </c>
      <c r="AO13">
        <v>102</v>
      </c>
      <c r="AP13">
        <v>2458</v>
      </c>
      <c r="AQ13">
        <v>159584</v>
      </c>
      <c r="AR13">
        <v>27137032</v>
      </c>
      <c r="AS13">
        <v>848322</v>
      </c>
      <c r="AT13">
        <v>7595009</v>
      </c>
      <c r="AU13">
        <v>2217739</v>
      </c>
      <c r="AV13">
        <v>37957686</v>
      </c>
      <c r="AW13">
        <v>7.5</v>
      </c>
      <c r="AX13">
        <v>8.43</v>
      </c>
      <c r="AY13">
        <v>8.69</v>
      </c>
      <c r="AZ13">
        <v>10.71</v>
      </c>
      <c r="BA13">
        <v>7.78</v>
      </c>
      <c r="BB13">
        <v>9.0500000000000007</v>
      </c>
      <c r="BC13">
        <v>7.64</v>
      </c>
      <c r="BD13">
        <v>8.3699999999999992</v>
      </c>
      <c r="BE13">
        <v>4.99</v>
      </c>
      <c r="BF13">
        <v>7</v>
      </c>
      <c r="BG13">
        <v>0.77329999999999999</v>
      </c>
      <c r="BH13">
        <v>7.0000000000000001E-3</v>
      </c>
      <c r="BI13">
        <v>0.16619999999999999</v>
      </c>
      <c r="BJ13">
        <v>2.0799999999999999E-2</v>
      </c>
      <c r="BK13">
        <v>3.3E-3</v>
      </c>
      <c r="BL13">
        <v>0.65580000000000005</v>
      </c>
      <c r="BM13">
        <v>1.8700000000000001E-2</v>
      </c>
      <c r="BN13">
        <v>0.28070000000000001</v>
      </c>
      <c r="BO13">
        <v>-1.46</v>
      </c>
      <c r="BP13">
        <v>0.93</v>
      </c>
      <c r="BQ13">
        <v>1.19</v>
      </c>
      <c r="BR13">
        <v>3.21</v>
      </c>
      <c r="BS13">
        <v>19187500</v>
      </c>
      <c r="BT13">
        <v>1179482.72</v>
      </c>
      <c r="BU13">
        <v>12.91</v>
      </c>
      <c r="BV13">
        <v>1807.79</v>
      </c>
      <c r="BW13">
        <v>7.56</v>
      </c>
      <c r="BX13">
        <v>749.57079999999996</v>
      </c>
      <c r="BY13">
        <v>53.191773210000001</v>
      </c>
      <c r="BZ13" s="5">
        <v>81901.8</v>
      </c>
      <c r="CA13" s="5">
        <v>14.24</v>
      </c>
      <c r="CB13" s="5">
        <v>0</v>
      </c>
      <c r="CC13" s="5">
        <v>0</v>
      </c>
    </row>
    <row r="14" spans="1:81" x14ac:dyDescent="0.2">
      <c r="A14" s="2">
        <v>38718</v>
      </c>
      <c r="B14">
        <v>2006</v>
      </c>
      <c r="C14">
        <v>1</v>
      </c>
      <c r="E14">
        <v>6.2279999999999998</v>
      </c>
      <c r="F14">
        <v>17.75</v>
      </c>
      <c r="G14">
        <v>19.5</v>
      </c>
      <c r="J14">
        <v>4.8502000000000001</v>
      </c>
      <c r="K14">
        <v>1.1572</v>
      </c>
      <c r="L14">
        <v>1.2125999999999999</v>
      </c>
      <c r="M14">
        <v>115.4765</v>
      </c>
      <c r="N14">
        <v>8.0654000000000003</v>
      </c>
      <c r="O14">
        <v>1.0478741789999999</v>
      </c>
      <c r="P14">
        <v>99.789578289999994</v>
      </c>
      <c r="Q14">
        <v>6.96975458</v>
      </c>
      <c r="R14">
        <v>1240565</v>
      </c>
      <c r="S14">
        <v>6016935</v>
      </c>
      <c r="W14">
        <v>16375000</v>
      </c>
      <c r="X14">
        <v>26250000</v>
      </c>
      <c r="Y14">
        <v>1446.82</v>
      </c>
      <c r="Z14">
        <v>21.34</v>
      </c>
      <c r="AA14">
        <v>176.23</v>
      </c>
      <c r="AB14">
        <v>52.47</v>
      </c>
      <c r="AC14">
        <v>59.94</v>
      </c>
      <c r="AD14">
        <v>1756.8</v>
      </c>
      <c r="AE14">
        <v>23451978</v>
      </c>
      <c r="AF14">
        <v>393584</v>
      </c>
      <c r="AG14">
        <v>3286427</v>
      </c>
      <c r="AH14">
        <v>864173</v>
      </c>
      <c r="AI14">
        <v>1296252</v>
      </c>
      <c r="AJ14">
        <v>29292414</v>
      </c>
      <c r="AK14">
        <v>8</v>
      </c>
      <c r="AL14">
        <v>367</v>
      </c>
      <c r="AM14">
        <v>23</v>
      </c>
      <c r="AN14">
        <v>144</v>
      </c>
      <c r="AO14">
        <v>56</v>
      </c>
      <c r="AP14">
        <v>598</v>
      </c>
      <c r="AQ14">
        <v>160140</v>
      </c>
      <c r="AR14">
        <v>6055670</v>
      </c>
      <c r="AS14">
        <v>413507</v>
      </c>
      <c r="AT14">
        <v>1634228</v>
      </c>
      <c r="AU14">
        <v>984207</v>
      </c>
      <c r="AV14">
        <v>9247752</v>
      </c>
      <c r="AW14">
        <v>7.35</v>
      </c>
      <c r="AX14">
        <v>8.3699999999999992</v>
      </c>
      <c r="AY14">
        <v>8.4600000000000009</v>
      </c>
      <c r="AZ14">
        <v>7.47</v>
      </c>
      <c r="BA14">
        <v>7.56</v>
      </c>
      <c r="BB14">
        <v>9.08</v>
      </c>
      <c r="BC14">
        <v>7.48</v>
      </c>
      <c r="BD14">
        <v>8.15</v>
      </c>
      <c r="BE14">
        <v>5.15</v>
      </c>
      <c r="BF14">
        <v>7.01</v>
      </c>
      <c r="BG14">
        <v>0.8236</v>
      </c>
      <c r="BH14">
        <v>1.21E-2</v>
      </c>
      <c r="BI14">
        <v>0.1003</v>
      </c>
      <c r="BJ14">
        <v>2.9899999999999999E-2</v>
      </c>
      <c r="BK14">
        <v>1.34E-2</v>
      </c>
      <c r="BL14">
        <v>0.61370000000000002</v>
      </c>
      <c r="BM14">
        <v>3.85E-2</v>
      </c>
      <c r="BN14">
        <v>0.24079999999999999</v>
      </c>
      <c r="BO14">
        <v>-1.21</v>
      </c>
      <c r="BP14">
        <v>1.02</v>
      </c>
      <c r="BQ14">
        <v>1.1100000000000001</v>
      </c>
      <c r="BR14">
        <v>0.12</v>
      </c>
      <c r="BS14">
        <v>16375000</v>
      </c>
      <c r="BT14">
        <v>734028.23</v>
      </c>
      <c r="BU14">
        <v>9.4</v>
      </c>
      <c r="BV14">
        <v>1497915.83</v>
      </c>
      <c r="BW14">
        <v>14.83</v>
      </c>
      <c r="BZ14" s="5">
        <v>243769.73</v>
      </c>
      <c r="CA14" s="5">
        <v>5.39</v>
      </c>
      <c r="CB14" s="5">
        <v>99362.42</v>
      </c>
      <c r="CC14" s="5">
        <v>3.01</v>
      </c>
    </row>
    <row r="15" spans="1:81" x14ac:dyDescent="0.2">
      <c r="A15" s="2">
        <v>38749</v>
      </c>
      <c r="B15">
        <v>2006</v>
      </c>
      <c r="C15">
        <v>2</v>
      </c>
      <c r="E15">
        <v>7.7560000000000002</v>
      </c>
      <c r="F15">
        <v>17.75</v>
      </c>
      <c r="G15">
        <v>19.5</v>
      </c>
      <c r="J15">
        <v>5.9287000000000001</v>
      </c>
      <c r="K15">
        <v>1.1489</v>
      </c>
      <c r="L15">
        <v>1.194</v>
      </c>
      <c r="M15">
        <v>117.8605</v>
      </c>
      <c r="N15">
        <v>8.0511999999999997</v>
      </c>
      <c r="O15">
        <v>1.03925494</v>
      </c>
      <c r="P15">
        <v>102.58551660000001</v>
      </c>
      <c r="Q15">
        <v>7.0077465400000003</v>
      </c>
      <c r="R15">
        <v>585547</v>
      </c>
      <c r="S15">
        <v>3471521</v>
      </c>
      <c r="W15">
        <v>11500000</v>
      </c>
      <c r="X15">
        <v>26250000</v>
      </c>
      <c r="Y15">
        <v>1756.14</v>
      </c>
      <c r="Z15">
        <v>20.49</v>
      </c>
      <c r="AA15">
        <v>230.42</v>
      </c>
      <c r="AB15">
        <v>61.19</v>
      </c>
      <c r="AC15">
        <v>84.41</v>
      </c>
      <c r="AD15">
        <v>2152.65</v>
      </c>
      <c r="AE15">
        <v>30318979</v>
      </c>
      <c r="AF15">
        <v>379442</v>
      </c>
      <c r="AG15">
        <v>4618121</v>
      </c>
      <c r="AH15">
        <v>1312784</v>
      </c>
      <c r="AI15">
        <v>1625118</v>
      </c>
      <c r="AJ15">
        <v>38254444</v>
      </c>
      <c r="AK15">
        <v>4</v>
      </c>
      <c r="AL15">
        <v>460</v>
      </c>
      <c r="AM15">
        <v>15</v>
      </c>
      <c r="AN15">
        <v>4</v>
      </c>
      <c r="AO15">
        <v>49</v>
      </c>
      <c r="AP15">
        <v>532</v>
      </c>
      <c r="AQ15">
        <v>84054</v>
      </c>
      <c r="AR15">
        <v>7573842</v>
      </c>
      <c r="AS15">
        <v>289165</v>
      </c>
      <c r="AT15">
        <v>69541</v>
      </c>
      <c r="AU15">
        <v>904351</v>
      </c>
      <c r="AV15">
        <v>8920953</v>
      </c>
      <c r="AW15">
        <v>7.83</v>
      </c>
      <c r="AX15">
        <v>8.4</v>
      </c>
      <c r="AY15">
        <v>9.09</v>
      </c>
      <c r="AZ15">
        <v>9.73</v>
      </c>
      <c r="BA15">
        <v>8.06</v>
      </c>
      <c r="BB15">
        <v>9.5299999999999994</v>
      </c>
      <c r="BC15">
        <v>7.47</v>
      </c>
      <c r="BD15">
        <v>8.74</v>
      </c>
      <c r="BE15">
        <v>7.89</v>
      </c>
      <c r="BF15">
        <v>7.61</v>
      </c>
      <c r="BG15">
        <v>0.81579999999999997</v>
      </c>
      <c r="BH15">
        <v>9.4999999999999998E-3</v>
      </c>
      <c r="BI15">
        <v>0.107</v>
      </c>
      <c r="BJ15">
        <v>2.8400000000000002E-2</v>
      </c>
      <c r="BK15">
        <v>7.4999999999999997E-3</v>
      </c>
      <c r="BL15">
        <v>0.86470000000000002</v>
      </c>
      <c r="BM15">
        <v>2.8199999999999999E-2</v>
      </c>
      <c r="BN15">
        <v>7.4999999999999997E-3</v>
      </c>
      <c r="BO15">
        <v>1.07</v>
      </c>
      <c r="BP15">
        <v>0.56999999999999995</v>
      </c>
      <c r="BQ15">
        <v>1.26</v>
      </c>
      <c r="BR15">
        <v>1.9</v>
      </c>
      <c r="BS15">
        <v>11500000</v>
      </c>
      <c r="BT15">
        <v>148302.57999999999</v>
      </c>
      <c r="BU15">
        <v>11.76</v>
      </c>
      <c r="BV15">
        <v>2098269.13</v>
      </c>
      <c r="BW15">
        <v>15.51</v>
      </c>
      <c r="BZ15" s="5">
        <v>74824.95</v>
      </c>
      <c r="CA15" s="5">
        <v>4.0199999999999996</v>
      </c>
      <c r="CB15" s="5">
        <v>0</v>
      </c>
      <c r="CC15" s="5">
        <v>0</v>
      </c>
    </row>
    <row r="16" spans="1:81" x14ac:dyDescent="0.2">
      <c r="A16" s="2">
        <v>38777</v>
      </c>
      <c r="B16">
        <v>2006</v>
      </c>
      <c r="C16">
        <v>3</v>
      </c>
      <c r="E16">
        <v>7.0720000000000001</v>
      </c>
      <c r="F16">
        <v>17.75</v>
      </c>
      <c r="G16">
        <v>19.5</v>
      </c>
      <c r="J16">
        <v>6.1597</v>
      </c>
      <c r="K16">
        <v>1.1573</v>
      </c>
      <c r="L16">
        <v>1.2028000000000001</v>
      </c>
      <c r="M16">
        <v>117.2778</v>
      </c>
      <c r="N16">
        <v>8.0350000000000001</v>
      </c>
      <c r="O16">
        <v>1.0393156480000001</v>
      </c>
      <c r="P16">
        <v>101.3374233</v>
      </c>
      <c r="Q16">
        <v>6.9428843000000002</v>
      </c>
      <c r="R16">
        <v>611321</v>
      </c>
      <c r="S16">
        <v>3765565</v>
      </c>
      <c r="W16">
        <v>6062500</v>
      </c>
      <c r="X16">
        <v>26250000</v>
      </c>
      <c r="Y16">
        <v>1654.46</v>
      </c>
      <c r="Z16">
        <v>22.18</v>
      </c>
      <c r="AA16">
        <v>183.23</v>
      </c>
      <c r="AB16">
        <v>63.2</v>
      </c>
      <c r="AC16">
        <v>98.03</v>
      </c>
      <c r="AD16">
        <v>2021.1</v>
      </c>
      <c r="AE16">
        <v>28575509</v>
      </c>
      <c r="AF16">
        <v>381662</v>
      </c>
      <c r="AG16">
        <v>3750550</v>
      </c>
      <c r="AH16">
        <v>1533177</v>
      </c>
      <c r="AI16">
        <v>1713034</v>
      </c>
      <c r="AJ16">
        <v>35953932</v>
      </c>
      <c r="AK16">
        <v>1</v>
      </c>
      <c r="AL16">
        <v>512</v>
      </c>
      <c r="AM16">
        <v>24</v>
      </c>
      <c r="AN16">
        <v>17</v>
      </c>
      <c r="AO16">
        <v>65</v>
      </c>
      <c r="AP16">
        <v>619</v>
      </c>
      <c r="AQ16">
        <v>15400</v>
      </c>
      <c r="AR16">
        <v>8412181</v>
      </c>
      <c r="AS16">
        <v>475258</v>
      </c>
      <c r="AT16">
        <v>255036</v>
      </c>
      <c r="AU16">
        <v>1227933</v>
      </c>
      <c r="AV16">
        <v>10385808</v>
      </c>
      <c r="AW16">
        <v>7.83</v>
      </c>
      <c r="AX16">
        <v>7.81</v>
      </c>
      <c r="AY16">
        <v>9.2799999999999994</v>
      </c>
      <c r="AZ16">
        <v>11</v>
      </c>
      <c r="BA16">
        <v>8.07</v>
      </c>
      <c r="BB16">
        <v>6.99</v>
      </c>
      <c r="BC16">
        <v>7.45</v>
      </c>
      <c r="BD16">
        <v>8.98</v>
      </c>
      <c r="BE16">
        <v>6.8</v>
      </c>
      <c r="BF16">
        <v>7.61</v>
      </c>
      <c r="BG16">
        <v>0.81859999999999999</v>
      </c>
      <c r="BH16">
        <v>1.0999999999999999E-2</v>
      </c>
      <c r="BI16">
        <v>9.0700000000000003E-2</v>
      </c>
      <c r="BJ16">
        <v>3.1300000000000001E-2</v>
      </c>
      <c r="BK16">
        <v>1.6000000000000001E-3</v>
      </c>
      <c r="BL16">
        <v>0.82709999999999995</v>
      </c>
      <c r="BM16">
        <v>3.8800000000000001E-2</v>
      </c>
      <c r="BN16">
        <v>2.75E-2</v>
      </c>
      <c r="BO16">
        <v>0.04</v>
      </c>
      <c r="BP16">
        <v>-0.02</v>
      </c>
      <c r="BQ16">
        <v>1.45</v>
      </c>
      <c r="BR16">
        <v>3.17</v>
      </c>
      <c r="BS16">
        <v>6062500</v>
      </c>
      <c r="BT16">
        <v>177551.28</v>
      </c>
      <c r="BU16">
        <v>9.5</v>
      </c>
      <c r="BV16">
        <v>85102.74</v>
      </c>
      <c r="BW16">
        <v>14.89</v>
      </c>
      <c r="BZ16" s="5">
        <v>59639.5</v>
      </c>
      <c r="CA16" s="5">
        <v>2.38</v>
      </c>
      <c r="CB16" s="5">
        <v>21164.39</v>
      </c>
      <c r="CC16" s="5">
        <v>9.15</v>
      </c>
    </row>
    <row r="17" spans="1:81" x14ac:dyDescent="0.2">
      <c r="A17" s="2">
        <v>38808</v>
      </c>
      <c r="B17">
        <v>2006</v>
      </c>
      <c r="C17">
        <v>4</v>
      </c>
      <c r="E17">
        <v>6.25</v>
      </c>
      <c r="F17">
        <v>17.75</v>
      </c>
      <c r="G17">
        <v>19.5</v>
      </c>
      <c r="J17">
        <v>5.2885</v>
      </c>
      <c r="K17">
        <v>1.1440999999999999</v>
      </c>
      <c r="L17">
        <v>1.2273000000000001</v>
      </c>
      <c r="M17">
        <v>117.06950000000001</v>
      </c>
      <c r="N17">
        <v>8.0143000000000004</v>
      </c>
      <c r="O17">
        <v>1.072720916</v>
      </c>
      <c r="P17">
        <v>102.32453460000001</v>
      </c>
      <c r="Q17">
        <v>7.0048946770000002</v>
      </c>
      <c r="R17">
        <v>897261</v>
      </c>
      <c r="S17">
        <v>4745205</v>
      </c>
      <c r="W17">
        <v>2593750</v>
      </c>
      <c r="X17">
        <v>26250000</v>
      </c>
      <c r="Y17">
        <v>1788.32</v>
      </c>
      <c r="Z17">
        <v>20.68</v>
      </c>
      <c r="AA17">
        <v>216.23</v>
      </c>
      <c r="AB17">
        <v>65</v>
      </c>
      <c r="AC17">
        <v>93.02</v>
      </c>
      <c r="AD17">
        <v>2183.25</v>
      </c>
      <c r="AE17">
        <v>27212290</v>
      </c>
      <c r="AF17">
        <v>372876</v>
      </c>
      <c r="AG17">
        <v>3931575</v>
      </c>
      <c r="AH17">
        <v>1466232</v>
      </c>
      <c r="AI17">
        <v>1648602</v>
      </c>
      <c r="AJ17">
        <v>34631575</v>
      </c>
      <c r="AK17">
        <v>0</v>
      </c>
      <c r="AL17">
        <v>545</v>
      </c>
      <c r="AM17">
        <v>19</v>
      </c>
      <c r="AN17">
        <v>7</v>
      </c>
      <c r="AO17">
        <v>43</v>
      </c>
      <c r="AP17">
        <v>614</v>
      </c>
      <c r="AQ17">
        <v>0</v>
      </c>
      <c r="AR17">
        <v>8854728</v>
      </c>
      <c r="AS17">
        <v>348332</v>
      </c>
      <c r="AT17">
        <v>84539</v>
      </c>
      <c r="AU17">
        <v>752351</v>
      </c>
      <c r="AV17">
        <v>10039950</v>
      </c>
      <c r="AW17">
        <v>6.9</v>
      </c>
      <c r="AX17">
        <v>8.18</v>
      </c>
      <c r="AY17">
        <v>8.25</v>
      </c>
      <c r="AZ17">
        <v>10.23</v>
      </c>
      <c r="BA17">
        <v>7.2</v>
      </c>
      <c r="BC17">
        <v>7.37</v>
      </c>
      <c r="BD17">
        <v>8.32</v>
      </c>
      <c r="BE17">
        <v>5.48</v>
      </c>
      <c r="BF17">
        <v>7.42</v>
      </c>
      <c r="BG17">
        <v>0.81910000000000005</v>
      </c>
      <c r="BH17">
        <v>9.4999999999999998E-3</v>
      </c>
      <c r="BI17">
        <v>9.9000000000000005E-2</v>
      </c>
      <c r="BJ17">
        <v>2.98E-2</v>
      </c>
      <c r="BK17">
        <v>0</v>
      </c>
      <c r="BL17">
        <v>0.88759999999999994</v>
      </c>
      <c r="BM17">
        <v>3.09E-2</v>
      </c>
      <c r="BN17">
        <v>1.14E-2</v>
      </c>
      <c r="BO17">
        <v>-0.55000000000000004</v>
      </c>
      <c r="BP17">
        <v>1.28</v>
      </c>
      <c r="BQ17">
        <v>1.35</v>
      </c>
      <c r="BR17">
        <v>3.33</v>
      </c>
      <c r="BS17">
        <v>2593750</v>
      </c>
      <c r="BT17">
        <v>88453.759999999995</v>
      </c>
      <c r="BU17">
        <v>10.43</v>
      </c>
      <c r="BV17">
        <v>2862694.66</v>
      </c>
      <c r="BW17">
        <v>15.79</v>
      </c>
      <c r="BZ17" s="5">
        <v>21929.4</v>
      </c>
      <c r="CA17" s="5">
        <v>3.83</v>
      </c>
      <c r="CB17" s="5">
        <v>44950.09</v>
      </c>
      <c r="CC17" s="5">
        <v>7.31</v>
      </c>
    </row>
    <row r="18" spans="1:81" x14ac:dyDescent="0.2">
      <c r="A18" s="2">
        <v>38838</v>
      </c>
      <c r="B18">
        <v>2006</v>
      </c>
      <c r="C18">
        <v>5</v>
      </c>
      <c r="E18">
        <v>6.2220000000000004</v>
      </c>
      <c r="F18">
        <v>16.95</v>
      </c>
      <c r="G18">
        <v>19</v>
      </c>
      <c r="J18">
        <v>5.3010000000000002</v>
      </c>
      <c r="K18">
        <v>1.1100000000000001</v>
      </c>
      <c r="L18">
        <v>1.2766999999999999</v>
      </c>
      <c r="M18">
        <v>111.73050000000001</v>
      </c>
      <c r="N18">
        <v>8.0130999999999997</v>
      </c>
      <c r="O18">
        <v>1.15018018</v>
      </c>
      <c r="P18">
        <v>100.65810810000001</v>
      </c>
      <c r="Q18">
        <v>7.2190090089999996</v>
      </c>
      <c r="R18">
        <v>1816073</v>
      </c>
      <c r="S18">
        <v>9627070</v>
      </c>
      <c r="W18">
        <v>4516667.5</v>
      </c>
      <c r="X18">
        <v>26250000</v>
      </c>
      <c r="Y18">
        <v>3075.68</v>
      </c>
      <c r="Z18">
        <v>23.1</v>
      </c>
      <c r="AA18">
        <v>272.06</v>
      </c>
      <c r="AB18">
        <v>63.66</v>
      </c>
      <c r="AC18">
        <v>98.53</v>
      </c>
      <c r="AD18">
        <v>3533.03</v>
      </c>
      <c r="AE18">
        <v>44350677</v>
      </c>
      <c r="AF18">
        <v>424525</v>
      </c>
      <c r="AG18">
        <v>4759475</v>
      </c>
      <c r="AH18">
        <v>1356365</v>
      </c>
      <c r="AI18">
        <v>1524527</v>
      </c>
      <c r="AJ18">
        <v>52415569</v>
      </c>
      <c r="AK18">
        <v>0</v>
      </c>
      <c r="AL18">
        <v>695</v>
      </c>
      <c r="AM18">
        <v>23</v>
      </c>
      <c r="AN18">
        <v>14</v>
      </c>
      <c r="AO18">
        <v>52</v>
      </c>
      <c r="AP18">
        <v>784</v>
      </c>
      <c r="AQ18">
        <v>9200</v>
      </c>
      <c r="AR18">
        <v>11048001</v>
      </c>
      <c r="AS18">
        <v>403913</v>
      </c>
      <c r="AT18">
        <v>159425</v>
      </c>
      <c r="AU18">
        <v>816226</v>
      </c>
      <c r="AV18">
        <v>12436765</v>
      </c>
      <c r="AW18">
        <v>6.54</v>
      </c>
      <c r="AX18">
        <v>8.34</v>
      </c>
      <c r="AY18">
        <v>7.94</v>
      </c>
      <c r="AZ18">
        <v>9.66</v>
      </c>
      <c r="BA18">
        <v>6.73</v>
      </c>
      <c r="BC18">
        <v>7.21</v>
      </c>
      <c r="BD18">
        <v>7.97</v>
      </c>
      <c r="BE18">
        <v>5.17</v>
      </c>
      <c r="BF18">
        <v>7.2</v>
      </c>
      <c r="BG18">
        <v>0.87060000000000004</v>
      </c>
      <c r="BH18">
        <v>6.4999999999999997E-3</v>
      </c>
      <c r="BI18">
        <v>7.6999999999999999E-2</v>
      </c>
      <c r="BJ18">
        <v>1.7999999999999999E-2</v>
      </c>
      <c r="BK18">
        <v>0</v>
      </c>
      <c r="BL18">
        <v>0.88649999999999995</v>
      </c>
      <c r="BM18">
        <v>2.93E-2</v>
      </c>
      <c r="BN18">
        <v>1.7899999999999999E-2</v>
      </c>
      <c r="BO18">
        <v>-0.73</v>
      </c>
      <c r="BP18">
        <v>1.8</v>
      </c>
      <c r="BQ18">
        <v>1.39</v>
      </c>
      <c r="BR18">
        <v>3.12</v>
      </c>
      <c r="BS18">
        <v>4516667.5</v>
      </c>
      <c r="BT18">
        <v>2031105.38</v>
      </c>
      <c r="BU18">
        <v>13.04</v>
      </c>
      <c r="BV18">
        <v>120991.75</v>
      </c>
      <c r="BW18">
        <v>16.54</v>
      </c>
      <c r="BZ18" s="5">
        <v>660838.37</v>
      </c>
      <c r="CA18" s="5">
        <v>6.44</v>
      </c>
      <c r="CB18" s="5">
        <v>669286.5</v>
      </c>
      <c r="CC18" s="5">
        <v>7.51</v>
      </c>
    </row>
    <row r="19" spans="1:81" x14ac:dyDescent="0.2">
      <c r="A19" s="2">
        <v>38869</v>
      </c>
      <c r="B19">
        <v>2006</v>
      </c>
      <c r="C19">
        <v>6</v>
      </c>
      <c r="E19">
        <v>6.9669999999999996</v>
      </c>
      <c r="F19">
        <v>17.57</v>
      </c>
      <c r="G19">
        <v>19.190000000000001</v>
      </c>
      <c r="J19">
        <v>5.0819999999999999</v>
      </c>
      <c r="K19">
        <v>1.1136999999999999</v>
      </c>
      <c r="L19">
        <v>1.2661</v>
      </c>
      <c r="M19">
        <v>114.625</v>
      </c>
      <c r="N19">
        <v>8.0042000000000009</v>
      </c>
      <c r="O19">
        <v>1.1368411599999999</v>
      </c>
      <c r="P19">
        <v>102.9226901</v>
      </c>
      <c r="Q19">
        <v>7.1870342100000002</v>
      </c>
      <c r="R19">
        <v>4270568</v>
      </c>
      <c r="S19">
        <v>21703200</v>
      </c>
      <c r="W19">
        <v>19718750</v>
      </c>
      <c r="X19">
        <v>26250000</v>
      </c>
      <c r="Y19">
        <v>2418.63</v>
      </c>
      <c r="Z19">
        <v>23.27</v>
      </c>
      <c r="AA19">
        <v>274.89999999999998</v>
      </c>
      <c r="AB19">
        <v>47.62</v>
      </c>
      <c r="AC19">
        <v>103.17</v>
      </c>
      <c r="AD19">
        <v>2867.59</v>
      </c>
      <c r="AE19">
        <v>36697519</v>
      </c>
      <c r="AF19">
        <v>417729</v>
      </c>
      <c r="AG19">
        <v>4960911</v>
      </c>
      <c r="AH19">
        <v>1422536</v>
      </c>
      <c r="AI19">
        <v>1344974</v>
      </c>
      <c r="AJ19">
        <v>44843669</v>
      </c>
      <c r="AK19">
        <v>1</v>
      </c>
      <c r="AL19">
        <v>632</v>
      </c>
      <c r="AM19">
        <v>23</v>
      </c>
      <c r="AN19">
        <v>213</v>
      </c>
      <c r="AO19">
        <v>46</v>
      </c>
      <c r="AP19">
        <v>915</v>
      </c>
      <c r="AQ19">
        <v>10131</v>
      </c>
      <c r="AR19">
        <v>10009649</v>
      </c>
      <c r="AS19">
        <v>427382</v>
      </c>
      <c r="AT19">
        <v>2383928</v>
      </c>
      <c r="AU19">
        <v>718921</v>
      </c>
      <c r="AV19">
        <v>13550011</v>
      </c>
      <c r="AW19">
        <v>6.88</v>
      </c>
      <c r="AX19">
        <v>8.14</v>
      </c>
      <c r="AY19">
        <v>8.19</v>
      </c>
      <c r="AZ19">
        <v>13.55</v>
      </c>
      <c r="BA19">
        <v>7.09</v>
      </c>
      <c r="BB19">
        <v>4.5999999999999996</v>
      </c>
      <c r="BC19">
        <v>7.18</v>
      </c>
      <c r="BD19">
        <v>8.43</v>
      </c>
      <c r="BE19">
        <v>5.08</v>
      </c>
      <c r="BF19">
        <v>6.72</v>
      </c>
      <c r="BG19">
        <v>0.84340000000000004</v>
      </c>
      <c r="BH19">
        <v>8.0999999999999996E-3</v>
      </c>
      <c r="BI19">
        <v>9.5899999999999999E-2</v>
      </c>
      <c r="BJ19">
        <v>1.66E-2</v>
      </c>
      <c r="BK19">
        <v>1.1000000000000001E-3</v>
      </c>
      <c r="BL19">
        <v>0.69069999999999998</v>
      </c>
      <c r="BM19">
        <v>2.5100000000000001E-2</v>
      </c>
      <c r="BN19">
        <v>0.23280000000000001</v>
      </c>
      <c r="BO19">
        <v>-1.1000000000000001</v>
      </c>
      <c r="BP19">
        <v>1.26</v>
      </c>
      <c r="BQ19">
        <v>1.3</v>
      </c>
      <c r="BR19">
        <v>6.67</v>
      </c>
      <c r="BS19">
        <v>19718750</v>
      </c>
      <c r="BT19">
        <v>1944430.75</v>
      </c>
      <c r="BU19">
        <v>13.52</v>
      </c>
      <c r="BV19">
        <v>1746879.16</v>
      </c>
      <c r="BW19">
        <v>15.85</v>
      </c>
      <c r="BX19">
        <v>36900.929559999997</v>
      </c>
      <c r="BY19">
        <v>1.784860186</v>
      </c>
      <c r="BZ19" s="5">
        <v>1156920.76</v>
      </c>
      <c r="CA19" s="5">
        <v>6.8</v>
      </c>
      <c r="CB19" s="5">
        <v>1351545</v>
      </c>
      <c r="CC19" s="5">
        <v>7.41</v>
      </c>
    </row>
    <row r="20" spans="1:81" x14ac:dyDescent="0.2">
      <c r="A20" s="2">
        <v>38899</v>
      </c>
      <c r="B20">
        <v>2006</v>
      </c>
      <c r="C20">
        <v>7</v>
      </c>
      <c r="E20">
        <v>6.2</v>
      </c>
      <c r="F20">
        <v>17.86</v>
      </c>
      <c r="G20">
        <v>19.09</v>
      </c>
      <c r="J20">
        <v>3.8755000000000002</v>
      </c>
      <c r="K20">
        <v>1.1294</v>
      </c>
      <c r="L20">
        <v>1.2681</v>
      </c>
      <c r="M20">
        <v>115.767</v>
      </c>
      <c r="N20">
        <v>7.9897</v>
      </c>
      <c r="O20">
        <v>1.122808571</v>
      </c>
      <c r="P20">
        <v>102.50309900000001</v>
      </c>
      <c r="Q20">
        <v>7.0742872319999996</v>
      </c>
      <c r="R20">
        <v>10928454</v>
      </c>
      <c r="S20">
        <v>42353467</v>
      </c>
      <c r="W20">
        <v>21750000</v>
      </c>
      <c r="X20">
        <v>26250000</v>
      </c>
      <c r="Y20">
        <v>1522.23</v>
      </c>
      <c r="Z20">
        <v>24.6</v>
      </c>
      <c r="AA20">
        <v>233.66</v>
      </c>
      <c r="AB20">
        <v>66.77</v>
      </c>
      <c r="AC20">
        <v>81.19</v>
      </c>
      <c r="AD20">
        <v>1928.45</v>
      </c>
      <c r="AE20">
        <v>24823265</v>
      </c>
      <c r="AF20">
        <v>424491</v>
      </c>
      <c r="AG20">
        <v>4537457</v>
      </c>
      <c r="AH20">
        <v>1203232</v>
      </c>
      <c r="AI20">
        <v>1540515</v>
      </c>
      <c r="AJ20">
        <v>32528960</v>
      </c>
      <c r="AK20">
        <v>0</v>
      </c>
      <c r="AL20">
        <v>654</v>
      </c>
      <c r="AM20">
        <v>23</v>
      </c>
      <c r="AN20">
        <v>1997</v>
      </c>
      <c r="AO20">
        <v>42</v>
      </c>
      <c r="AP20">
        <v>2716</v>
      </c>
      <c r="AQ20">
        <v>0</v>
      </c>
      <c r="AR20">
        <v>10728793</v>
      </c>
      <c r="AS20">
        <v>440501</v>
      </c>
      <c r="AT20">
        <v>19030454</v>
      </c>
      <c r="AU20">
        <v>674517</v>
      </c>
      <c r="AV20">
        <v>30874265</v>
      </c>
      <c r="AW20">
        <v>7.4</v>
      </c>
      <c r="AX20">
        <v>7.83</v>
      </c>
      <c r="AY20">
        <v>8.81</v>
      </c>
      <c r="AZ20">
        <v>8.17</v>
      </c>
      <c r="BA20">
        <v>7.65</v>
      </c>
      <c r="BC20">
        <v>7.44</v>
      </c>
      <c r="BD20">
        <v>8.69</v>
      </c>
      <c r="BE20">
        <v>4.32</v>
      </c>
      <c r="BF20">
        <v>5.16</v>
      </c>
      <c r="BG20">
        <v>0.78939999999999999</v>
      </c>
      <c r="BH20">
        <v>1.2800000000000001E-2</v>
      </c>
      <c r="BI20">
        <v>0.1212</v>
      </c>
      <c r="BJ20">
        <v>3.4599999999999999E-2</v>
      </c>
      <c r="BK20">
        <v>0</v>
      </c>
      <c r="BL20">
        <v>0.24079999999999999</v>
      </c>
      <c r="BM20">
        <v>8.5000000000000006E-3</v>
      </c>
      <c r="BN20">
        <v>0.73529999999999995</v>
      </c>
      <c r="BO20">
        <v>-2.23</v>
      </c>
      <c r="BP20">
        <v>0.43</v>
      </c>
      <c r="BQ20">
        <v>1.41</v>
      </c>
      <c r="BR20">
        <v>0.78</v>
      </c>
      <c r="BS20">
        <v>21750000</v>
      </c>
      <c r="BT20">
        <v>873058.18</v>
      </c>
      <c r="BU20">
        <v>13.9</v>
      </c>
      <c r="BV20">
        <v>14850.32</v>
      </c>
      <c r="BW20">
        <v>16.489999999999998</v>
      </c>
      <c r="BX20">
        <v>86956.826660000006</v>
      </c>
      <c r="BY20">
        <v>6.0594207520000003</v>
      </c>
      <c r="BZ20" s="5">
        <v>816872.87</v>
      </c>
      <c r="CA20" s="5">
        <v>6.35</v>
      </c>
      <c r="CB20" s="5">
        <v>1016530.27</v>
      </c>
      <c r="CC20" s="5">
        <v>7.69</v>
      </c>
    </row>
    <row r="21" spans="1:81" x14ac:dyDescent="0.2">
      <c r="A21" s="2">
        <v>38930</v>
      </c>
      <c r="B21">
        <v>2006</v>
      </c>
      <c r="C21">
        <v>8</v>
      </c>
      <c r="E21">
        <v>5.26</v>
      </c>
      <c r="F21">
        <v>17.95</v>
      </c>
      <c r="G21">
        <v>18.5</v>
      </c>
      <c r="J21">
        <v>3.9022000000000001</v>
      </c>
      <c r="K21">
        <v>1.1182000000000001</v>
      </c>
      <c r="L21">
        <v>1.2809999999999999</v>
      </c>
      <c r="M21">
        <v>115.9243</v>
      </c>
      <c r="N21">
        <v>7.9722</v>
      </c>
      <c r="O21">
        <v>1.145591129</v>
      </c>
      <c r="P21">
        <v>103.6704525</v>
      </c>
      <c r="Q21">
        <v>7.1294938290000003</v>
      </c>
      <c r="R21">
        <v>13535491</v>
      </c>
      <c r="S21">
        <v>52818825</v>
      </c>
      <c r="W21">
        <v>14667808.5</v>
      </c>
      <c r="X21">
        <v>26250000</v>
      </c>
      <c r="Y21">
        <v>897.91</v>
      </c>
      <c r="Z21">
        <v>29.09</v>
      </c>
      <c r="AA21">
        <v>213.82</v>
      </c>
      <c r="AB21">
        <v>58.46</v>
      </c>
      <c r="AC21">
        <v>73.319999999999993</v>
      </c>
      <c r="AD21">
        <v>1272.5999999999999</v>
      </c>
      <c r="AE21">
        <v>15795462</v>
      </c>
      <c r="AF21">
        <v>556647</v>
      </c>
      <c r="AG21">
        <v>4196293</v>
      </c>
      <c r="AH21">
        <v>1124163</v>
      </c>
      <c r="AI21">
        <v>1572895</v>
      </c>
      <c r="AJ21">
        <v>23245460</v>
      </c>
      <c r="AK21">
        <v>11</v>
      </c>
      <c r="AL21">
        <v>1372</v>
      </c>
      <c r="AM21">
        <v>18</v>
      </c>
      <c r="AN21">
        <v>2779</v>
      </c>
      <c r="AO21">
        <v>90</v>
      </c>
      <c r="AP21">
        <v>4270</v>
      </c>
      <c r="AQ21">
        <v>227167</v>
      </c>
      <c r="AR21">
        <v>21241086</v>
      </c>
      <c r="AS21">
        <v>342963</v>
      </c>
      <c r="AT21">
        <v>27149296</v>
      </c>
      <c r="AU21">
        <v>1501471</v>
      </c>
      <c r="AV21">
        <v>50461983</v>
      </c>
      <c r="AW21">
        <v>7.98</v>
      </c>
      <c r="AX21">
        <v>8.68</v>
      </c>
      <c r="AY21">
        <v>8.9</v>
      </c>
      <c r="AZ21">
        <v>8.7200000000000006</v>
      </c>
      <c r="BA21">
        <v>8.2899999999999991</v>
      </c>
      <c r="BB21">
        <v>9.3699999999999992</v>
      </c>
      <c r="BC21">
        <v>7.02</v>
      </c>
      <c r="BD21">
        <v>8.64</v>
      </c>
      <c r="BE21">
        <v>4.43</v>
      </c>
      <c r="BF21">
        <v>5.36</v>
      </c>
      <c r="BG21">
        <v>0.7056</v>
      </c>
      <c r="BH21">
        <v>2.29E-2</v>
      </c>
      <c r="BI21">
        <v>0.16800000000000001</v>
      </c>
      <c r="BJ21">
        <v>4.5900000000000003E-2</v>
      </c>
      <c r="BK21">
        <v>2.5999999999999999E-3</v>
      </c>
      <c r="BL21">
        <v>0.32129999999999997</v>
      </c>
      <c r="BM21">
        <v>4.1999999999999997E-3</v>
      </c>
      <c r="BN21">
        <v>0.65080000000000005</v>
      </c>
      <c r="BO21">
        <v>-2.7</v>
      </c>
      <c r="BP21">
        <v>0.7</v>
      </c>
      <c r="BQ21">
        <v>0.92</v>
      </c>
      <c r="BR21">
        <v>0.74</v>
      </c>
      <c r="BS21">
        <v>14667808.5</v>
      </c>
      <c r="BT21">
        <v>982934.24</v>
      </c>
      <c r="BU21">
        <v>12.59</v>
      </c>
      <c r="BV21">
        <v>797713.09</v>
      </c>
      <c r="BW21">
        <v>15.58</v>
      </c>
      <c r="BX21">
        <v>75395.799379999997</v>
      </c>
      <c r="BY21">
        <v>4.2670414350000003</v>
      </c>
      <c r="BZ21" s="5">
        <v>307194.57</v>
      </c>
      <c r="CA21" s="5">
        <v>6.6</v>
      </c>
      <c r="CB21" s="5">
        <v>304945.84999999998</v>
      </c>
      <c r="CC21" s="5">
        <v>7.05</v>
      </c>
    </row>
    <row r="22" spans="1:81" x14ac:dyDescent="0.2">
      <c r="A22" s="2">
        <v>38961</v>
      </c>
      <c r="B22">
        <v>2006</v>
      </c>
      <c r="C22">
        <v>9</v>
      </c>
      <c r="E22">
        <v>5.2690000000000001</v>
      </c>
      <c r="F22">
        <v>17.93</v>
      </c>
      <c r="G22">
        <v>18.22</v>
      </c>
      <c r="J22">
        <v>4.0039999999999996</v>
      </c>
      <c r="K22">
        <v>1.1161000000000001</v>
      </c>
      <c r="L22">
        <v>1.2722</v>
      </c>
      <c r="M22">
        <v>117.2145</v>
      </c>
      <c r="N22">
        <v>7.9333999999999998</v>
      </c>
      <c r="O22">
        <v>1.13986202</v>
      </c>
      <c r="P22">
        <v>105.0215034</v>
      </c>
      <c r="Q22">
        <v>7.1081444319999996</v>
      </c>
      <c r="R22">
        <v>13416558</v>
      </c>
      <c r="S22">
        <v>53720115</v>
      </c>
      <c r="W22">
        <v>7917186.7999999998</v>
      </c>
      <c r="X22">
        <v>26250000</v>
      </c>
      <c r="Y22">
        <v>254.56</v>
      </c>
      <c r="Z22">
        <v>28.03</v>
      </c>
      <c r="AA22">
        <v>185.13</v>
      </c>
      <c r="AB22">
        <v>48.58</v>
      </c>
      <c r="AC22">
        <v>76.14</v>
      </c>
      <c r="AD22">
        <v>592.44000000000005</v>
      </c>
      <c r="AE22">
        <v>4349232</v>
      </c>
      <c r="AF22">
        <v>567111</v>
      </c>
      <c r="AG22">
        <v>3733809</v>
      </c>
      <c r="AH22">
        <v>1230226</v>
      </c>
      <c r="AI22">
        <v>1347093</v>
      </c>
      <c r="AJ22">
        <v>11227471</v>
      </c>
      <c r="AK22">
        <v>6</v>
      </c>
      <c r="AL22">
        <v>642</v>
      </c>
      <c r="AM22">
        <v>36</v>
      </c>
      <c r="AN22">
        <v>3460</v>
      </c>
      <c r="AO22">
        <v>89</v>
      </c>
      <c r="AP22">
        <v>4233</v>
      </c>
      <c r="AQ22">
        <v>120453</v>
      </c>
      <c r="AR22">
        <v>10008421</v>
      </c>
      <c r="AS22">
        <v>647988</v>
      </c>
      <c r="AT22">
        <v>35217190</v>
      </c>
      <c r="AU22">
        <v>1543665</v>
      </c>
      <c r="AV22">
        <v>47537717</v>
      </c>
      <c r="AW22">
        <v>7.75</v>
      </c>
      <c r="AX22">
        <v>9.18</v>
      </c>
      <c r="AY22">
        <v>9.15</v>
      </c>
      <c r="AZ22">
        <v>11.49</v>
      </c>
      <c r="BA22">
        <v>8.6</v>
      </c>
      <c r="BB22">
        <v>9.11</v>
      </c>
      <c r="BC22">
        <v>7.07</v>
      </c>
      <c r="BD22">
        <v>8.16</v>
      </c>
      <c r="BE22">
        <v>4.62</v>
      </c>
      <c r="BF22">
        <v>5.09</v>
      </c>
      <c r="BG22">
        <v>0.42970000000000003</v>
      </c>
      <c r="BH22">
        <v>4.7300000000000002E-2</v>
      </c>
      <c r="BI22">
        <v>0.3125</v>
      </c>
      <c r="BJ22">
        <v>8.2000000000000003E-2</v>
      </c>
      <c r="BK22">
        <v>1.4E-3</v>
      </c>
      <c r="BL22">
        <v>0.1517</v>
      </c>
      <c r="BM22">
        <v>8.5000000000000006E-3</v>
      </c>
      <c r="BN22">
        <v>0.81740000000000002</v>
      </c>
      <c r="BO22">
        <v>-2.33</v>
      </c>
      <c r="BP22">
        <v>1.43</v>
      </c>
      <c r="BQ22">
        <v>1.4</v>
      </c>
      <c r="BR22">
        <v>3.74</v>
      </c>
      <c r="BS22">
        <v>7917186.7999999998</v>
      </c>
      <c r="BT22">
        <v>1093249.01</v>
      </c>
      <c r="BU22">
        <v>11.66</v>
      </c>
      <c r="BV22">
        <v>181784.15</v>
      </c>
      <c r="BW22">
        <v>13.82</v>
      </c>
      <c r="BZ22" s="5">
        <v>332918.13</v>
      </c>
      <c r="CA22" s="5">
        <v>8.35</v>
      </c>
      <c r="CB22" s="5">
        <v>545884.85</v>
      </c>
      <c r="CC22" s="5">
        <v>7.32</v>
      </c>
    </row>
    <row r="23" spans="1:81" x14ac:dyDescent="0.2">
      <c r="A23" s="2">
        <v>38991</v>
      </c>
      <c r="B23">
        <v>2006</v>
      </c>
      <c r="C23">
        <v>10</v>
      </c>
      <c r="E23">
        <v>4.95</v>
      </c>
      <c r="F23">
        <v>17.75</v>
      </c>
      <c r="G23">
        <v>17.64</v>
      </c>
      <c r="J23">
        <v>3.7989999999999999</v>
      </c>
      <c r="K23">
        <v>1.1285000000000001</v>
      </c>
      <c r="L23">
        <v>1.2617</v>
      </c>
      <c r="M23">
        <v>118.60899999999999</v>
      </c>
      <c r="N23">
        <v>7.9017999999999997</v>
      </c>
      <c r="O23">
        <v>1.118032787</v>
      </c>
      <c r="P23">
        <v>105.10323440000001</v>
      </c>
      <c r="Q23">
        <v>7.0020381040000004</v>
      </c>
      <c r="R23">
        <v>16224717</v>
      </c>
      <c r="S23">
        <v>61637527</v>
      </c>
      <c r="W23">
        <v>3400000</v>
      </c>
      <c r="X23">
        <v>26250000</v>
      </c>
      <c r="Y23">
        <v>249.12</v>
      </c>
      <c r="Z23">
        <v>16.57</v>
      </c>
      <c r="AA23">
        <v>169.69</v>
      </c>
      <c r="AB23">
        <v>43.07</v>
      </c>
      <c r="AC23">
        <v>52.14</v>
      </c>
      <c r="AD23">
        <v>530.59</v>
      </c>
      <c r="AE23">
        <v>4454931</v>
      </c>
      <c r="AF23">
        <v>304450</v>
      </c>
      <c r="AG23">
        <v>3401497</v>
      </c>
      <c r="AH23">
        <v>773703</v>
      </c>
      <c r="AI23">
        <v>1245809</v>
      </c>
      <c r="AJ23">
        <v>10180390</v>
      </c>
      <c r="AK23">
        <v>66</v>
      </c>
      <c r="AL23">
        <v>641</v>
      </c>
      <c r="AM23">
        <v>68</v>
      </c>
      <c r="AN23">
        <v>5027</v>
      </c>
      <c r="AO23">
        <v>129</v>
      </c>
      <c r="AP23">
        <v>5931</v>
      </c>
      <c r="AQ23">
        <v>1569068</v>
      </c>
      <c r="AR23">
        <v>10125586</v>
      </c>
      <c r="AS23">
        <v>1243879</v>
      </c>
      <c r="AT23">
        <v>49080962</v>
      </c>
      <c r="AU23">
        <v>2380520</v>
      </c>
      <c r="AV23">
        <v>64400015</v>
      </c>
      <c r="AW23">
        <v>8.11</v>
      </c>
      <c r="AX23">
        <v>8.33</v>
      </c>
      <c r="AY23">
        <v>9.09</v>
      </c>
      <c r="AZ23">
        <v>8.15</v>
      </c>
      <c r="BA23">
        <v>8.6999999999999993</v>
      </c>
      <c r="BB23">
        <v>10.78</v>
      </c>
      <c r="BC23">
        <v>7.17</v>
      </c>
      <c r="BD23">
        <v>8.3000000000000007</v>
      </c>
      <c r="BE23">
        <v>4.43</v>
      </c>
      <c r="BF23">
        <v>4.93</v>
      </c>
      <c r="BG23">
        <v>0.46949999999999997</v>
      </c>
      <c r="BH23">
        <v>3.1199999999999999E-2</v>
      </c>
      <c r="BI23">
        <v>0.31979999999999997</v>
      </c>
      <c r="BJ23">
        <v>8.1199999999999994E-2</v>
      </c>
      <c r="BK23">
        <v>1.11E-2</v>
      </c>
      <c r="BL23">
        <v>0.1081</v>
      </c>
      <c r="BM23">
        <v>1.15E-2</v>
      </c>
      <c r="BN23">
        <v>0.84760000000000002</v>
      </c>
      <c r="BO23">
        <v>-2.76</v>
      </c>
      <c r="BP23">
        <v>0.22</v>
      </c>
      <c r="BQ23">
        <v>0.98</v>
      </c>
      <c r="BR23">
        <v>0.04</v>
      </c>
      <c r="BS23">
        <v>3400000</v>
      </c>
      <c r="BT23">
        <v>1450662.01</v>
      </c>
      <c r="BU23">
        <v>12.22</v>
      </c>
      <c r="BV23">
        <v>120954.27</v>
      </c>
      <c r="BW23">
        <v>10.27</v>
      </c>
      <c r="BX23">
        <v>15941.60722</v>
      </c>
      <c r="BY23">
        <v>9.2205257580000008</v>
      </c>
      <c r="BZ23" s="5">
        <v>535900.1</v>
      </c>
      <c r="CA23" s="5">
        <v>6.66</v>
      </c>
      <c r="CB23" s="5">
        <v>205726.73</v>
      </c>
      <c r="CC23" s="5">
        <v>9.35</v>
      </c>
    </row>
    <row r="24" spans="1:81" x14ac:dyDescent="0.2">
      <c r="A24" s="2">
        <v>39022</v>
      </c>
      <c r="B24">
        <v>2006</v>
      </c>
      <c r="C24">
        <v>11</v>
      </c>
      <c r="E24">
        <v>4.9779999999999998</v>
      </c>
      <c r="F24">
        <v>17.75</v>
      </c>
      <c r="G24">
        <v>17.14</v>
      </c>
      <c r="J24">
        <v>3.7768000000000002</v>
      </c>
      <c r="K24">
        <v>1.1358999999999999</v>
      </c>
      <c r="L24">
        <v>1.2887999999999999</v>
      </c>
      <c r="M24">
        <v>117.3205</v>
      </c>
      <c r="N24">
        <v>7.8621999999999996</v>
      </c>
      <c r="O24">
        <v>1.13460692</v>
      </c>
      <c r="P24">
        <v>103.2841799</v>
      </c>
      <c r="Q24">
        <v>6.921559996</v>
      </c>
      <c r="R24">
        <v>8652353</v>
      </c>
      <c r="S24">
        <v>32678549</v>
      </c>
      <c r="W24">
        <v>2833333.3</v>
      </c>
      <c r="X24">
        <v>26250000</v>
      </c>
      <c r="Y24">
        <v>749.48</v>
      </c>
      <c r="Z24">
        <v>26.94</v>
      </c>
      <c r="AA24">
        <v>180.55</v>
      </c>
      <c r="AB24">
        <v>61.26</v>
      </c>
      <c r="AC24">
        <v>75.14</v>
      </c>
      <c r="AD24">
        <v>1093.3699999999999</v>
      </c>
      <c r="AE24">
        <v>10668019</v>
      </c>
      <c r="AF24">
        <v>504094</v>
      </c>
      <c r="AG24">
        <v>3527486</v>
      </c>
      <c r="AH24">
        <v>1163955</v>
      </c>
      <c r="AI24">
        <v>1614919</v>
      </c>
      <c r="AJ24">
        <v>17478473</v>
      </c>
      <c r="AK24">
        <v>29</v>
      </c>
      <c r="AL24">
        <v>611</v>
      </c>
      <c r="AM24">
        <v>67</v>
      </c>
      <c r="AN24">
        <v>2556</v>
      </c>
      <c r="AO24">
        <v>147</v>
      </c>
      <c r="AP24">
        <v>3410</v>
      </c>
      <c r="AQ24">
        <v>712595</v>
      </c>
      <c r="AR24">
        <v>9546432</v>
      </c>
      <c r="AS24">
        <v>1198251</v>
      </c>
      <c r="AT24">
        <v>24794953</v>
      </c>
      <c r="AU24">
        <v>2603916</v>
      </c>
      <c r="AV24">
        <v>38856147</v>
      </c>
      <c r="AW24">
        <v>6.46</v>
      </c>
      <c r="AX24">
        <v>8.49</v>
      </c>
      <c r="AY24">
        <v>8.86</v>
      </c>
      <c r="AZ24">
        <v>8.6199999999999992</v>
      </c>
      <c r="BA24">
        <v>7.25</v>
      </c>
      <c r="BB24">
        <v>11.15</v>
      </c>
      <c r="BC24">
        <v>7.09</v>
      </c>
      <c r="BD24">
        <v>8.11</v>
      </c>
      <c r="BE24">
        <v>4.4000000000000004</v>
      </c>
      <c r="BF24">
        <v>5.17</v>
      </c>
      <c r="BG24">
        <v>0.6855</v>
      </c>
      <c r="BH24">
        <v>2.46E-2</v>
      </c>
      <c r="BI24">
        <v>0.1651</v>
      </c>
      <c r="BJ24">
        <v>5.6000000000000001E-2</v>
      </c>
      <c r="BK24">
        <v>8.5000000000000006E-3</v>
      </c>
      <c r="BL24">
        <v>0.1792</v>
      </c>
      <c r="BM24">
        <v>1.9599999999999999E-2</v>
      </c>
      <c r="BN24">
        <v>0.74960000000000004</v>
      </c>
      <c r="BO24">
        <v>-1.28</v>
      </c>
      <c r="BP24">
        <v>2.0299999999999998</v>
      </c>
      <c r="BQ24">
        <v>2.41</v>
      </c>
      <c r="BR24">
        <v>2.16</v>
      </c>
      <c r="BS24">
        <v>2833333.3</v>
      </c>
      <c r="BT24">
        <v>993540.66</v>
      </c>
      <c r="BU24">
        <v>11.58</v>
      </c>
      <c r="BV24">
        <v>10390.370000000001</v>
      </c>
      <c r="BW24">
        <v>12.05</v>
      </c>
      <c r="BZ24" s="5">
        <v>140050.97</v>
      </c>
      <c r="CA24" s="5">
        <v>3.44</v>
      </c>
      <c r="CB24" s="5">
        <v>85841.46</v>
      </c>
      <c r="CC24" s="5">
        <v>7.69</v>
      </c>
    </row>
    <row r="25" spans="1:81" x14ac:dyDescent="0.2">
      <c r="A25" s="2">
        <v>39052</v>
      </c>
      <c r="B25">
        <v>2006</v>
      </c>
      <c r="C25">
        <v>12</v>
      </c>
      <c r="E25">
        <v>5.444</v>
      </c>
      <c r="F25">
        <v>17.75</v>
      </c>
      <c r="G25">
        <v>16.75</v>
      </c>
      <c r="J25">
        <v>4.0738000000000003</v>
      </c>
      <c r="K25">
        <v>1.1532</v>
      </c>
      <c r="L25">
        <v>1.3205</v>
      </c>
      <c r="M25">
        <v>117.322</v>
      </c>
      <c r="N25">
        <v>7.8219000000000003</v>
      </c>
      <c r="O25">
        <v>1.145074575</v>
      </c>
      <c r="P25">
        <v>101.7360388</v>
      </c>
      <c r="Q25">
        <v>6.7827783559999997</v>
      </c>
      <c r="R25">
        <v>3166919</v>
      </c>
      <c r="S25">
        <v>12901440</v>
      </c>
      <c r="W25">
        <v>19187500</v>
      </c>
      <c r="X25">
        <v>26250000</v>
      </c>
      <c r="Y25">
        <v>4696.25</v>
      </c>
      <c r="Z25">
        <v>46.91</v>
      </c>
      <c r="AA25">
        <v>946.77</v>
      </c>
      <c r="AB25">
        <v>119.4</v>
      </c>
      <c r="AC25">
        <v>143.08000000000001</v>
      </c>
      <c r="AD25">
        <v>5952.41</v>
      </c>
      <c r="AE25">
        <v>63152322</v>
      </c>
      <c r="AF25">
        <v>870592</v>
      </c>
      <c r="AG25">
        <v>16487661</v>
      </c>
      <c r="AH25">
        <v>2012581</v>
      </c>
      <c r="AI25">
        <v>2779663</v>
      </c>
      <c r="AJ25">
        <v>85302819</v>
      </c>
      <c r="AK25">
        <v>14</v>
      </c>
      <c r="AL25">
        <v>1506</v>
      </c>
      <c r="AM25">
        <v>49</v>
      </c>
      <c r="AN25">
        <v>575</v>
      </c>
      <c r="AO25">
        <v>317</v>
      </c>
      <c r="AP25">
        <v>2461</v>
      </c>
      <c r="AQ25">
        <v>332293</v>
      </c>
      <c r="AR25">
        <v>24272505</v>
      </c>
      <c r="AS25">
        <v>828856</v>
      </c>
      <c r="AT25">
        <v>5594312</v>
      </c>
      <c r="AU25">
        <v>5515162</v>
      </c>
      <c r="AV25">
        <v>36543128</v>
      </c>
      <c r="AW25">
        <v>6.1</v>
      </c>
      <c r="AX25">
        <v>8.42</v>
      </c>
      <c r="AY25">
        <v>7.9</v>
      </c>
      <c r="AZ25">
        <v>7.65</v>
      </c>
      <c r="BA25">
        <v>6.5</v>
      </c>
      <c r="BB25">
        <v>10.77</v>
      </c>
      <c r="BC25">
        <v>7.31</v>
      </c>
      <c r="BD25">
        <v>7.67</v>
      </c>
      <c r="BE25">
        <v>4.41</v>
      </c>
      <c r="BF25">
        <v>6.74</v>
      </c>
      <c r="BG25">
        <v>0.78900000000000003</v>
      </c>
      <c r="BH25">
        <v>7.9000000000000008E-3</v>
      </c>
      <c r="BI25">
        <v>0.15909999999999999</v>
      </c>
      <c r="BJ25">
        <v>2.01E-2</v>
      </c>
      <c r="BK25">
        <v>5.7000000000000002E-3</v>
      </c>
      <c r="BL25">
        <v>0.6119</v>
      </c>
      <c r="BM25">
        <v>1.9900000000000001E-2</v>
      </c>
      <c r="BN25">
        <v>0.2336</v>
      </c>
      <c r="BO25">
        <v>-0.88</v>
      </c>
      <c r="BP25">
        <v>2.3199999999999998</v>
      </c>
      <c r="BQ25">
        <v>1.8</v>
      </c>
      <c r="BR25">
        <v>1.55</v>
      </c>
      <c r="BS25">
        <v>19187500</v>
      </c>
      <c r="BT25">
        <v>1783795.52</v>
      </c>
      <c r="BU25">
        <v>10.95</v>
      </c>
      <c r="BV25">
        <v>207994.87</v>
      </c>
      <c r="BW25">
        <v>14.68</v>
      </c>
      <c r="BX25">
        <v>114.64024000000001</v>
      </c>
      <c r="BY25">
        <v>31.97830012</v>
      </c>
      <c r="BZ25" s="5">
        <v>110863.95</v>
      </c>
      <c r="CA25" s="5">
        <v>9.59</v>
      </c>
      <c r="CB25" s="5">
        <v>40838.46</v>
      </c>
      <c r="CC25" s="5">
        <v>8.07</v>
      </c>
    </row>
    <row r="26" spans="1:81" x14ac:dyDescent="0.2">
      <c r="A26" s="2">
        <v>39083</v>
      </c>
      <c r="B26">
        <v>2007</v>
      </c>
      <c r="C26">
        <v>1</v>
      </c>
      <c r="E26">
        <v>5.6559999999999997</v>
      </c>
      <c r="F26">
        <v>17.75</v>
      </c>
      <c r="G26">
        <v>16.75</v>
      </c>
      <c r="J26">
        <v>4.4325000000000001</v>
      </c>
      <c r="K26">
        <v>1.1762999999999999</v>
      </c>
      <c r="L26">
        <v>1.2992999999999999</v>
      </c>
      <c r="M26">
        <v>120.44710000000001</v>
      </c>
      <c r="N26">
        <v>7.7876000000000003</v>
      </c>
      <c r="O26">
        <v>1.1045651620000001</v>
      </c>
      <c r="P26">
        <v>102.39488230000001</v>
      </c>
      <c r="Q26">
        <v>6.6204199609999996</v>
      </c>
      <c r="R26">
        <v>670872</v>
      </c>
      <c r="S26">
        <v>2973631</v>
      </c>
      <c r="T26">
        <v>5820.89</v>
      </c>
      <c r="U26">
        <v>5516.59</v>
      </c>
      <c r="W26">
        <v>16875000</v>
      </c>
      <c r="X26">
        <v>26250000</v>
      </c>
      <c r="Y26">
        <v>1750.97</v>
      </c>
      <c r="Z26">
        <v>21.44</v>
      </c>
      <c r="AA26">
        <v>202.73</v>
      </c>
      <c r="AB26">
        <v>74.38</v>
      </c>
      <c r="AC26">
        <v>92.41</v>
      </c>
      <c r="AD26">
        <v>2141.9299999999998</v>
      </c>
      <c r="AE26">
        <v>24951846</v>
      </c>
      <c r="AF26">
        <v>397423</v>
      </c>
      <c r="AG26">
        <v>3419669</v>
      </c>
      <c r="AH26">
        <v>902280</v>
      </c>
      <c r="AI26">
        <v>1720960</v>
      </c>
      <c r="AJ26">
        <v>31392178</v>
      </c>
      <c r="AK26">
        <v>8</v>
      </c>
      <c r="AL26">
        <v>433</v>
      </c>
      <c r="AM26">
        <v>21</v>
      </c>
      <c r="AN26">
        <v>71</v>
      </c>
      <c r="AO26">
        <v>86</v>
      </c>
      <c r="AP26">
        <v>619</v>
      </c>
      <c r="AQ26">
        <v>195350</v>
      </c>
      <c r="AR26">
        <v>6871607</v>
      </c>
      <c r="AS26">
        <v>370229</v>
      </c>
      <c r="AT26">
        <v>735816</v>
      </c>
      <c r="AU26">
        <v>1507252</v>
      </c>
      <c r="AV26">
        <v>9680254</v>
      </c>
      <c r="AW26">
        <v>6.46</v>
      </c>
      <c r="AX26">
        <v>8.41</v>
      </c>
      <c r="AY26">
        <v>7.65</v>
      </c>
      <c r="AZ26">
        <v>5.5</v>
      </c>
      <c r="BA26">
        <v>6.65</v>
      </c>
      <c r="BB26">
        <v>11.08</v>
      </c>
      <c r="BC26">
        <v>7.2</v>
      </c>
      <c r="BD26">
        <v>8</v>
      </c>
      <c r="BE26">
        <v>4.7</v>
      </c>
      <c r="BF26">
        <v>7.09</v>
      </c>
      <c r="BG26">
        <v>0.8175</v>
      </c>
      <c r="BH26">
        <v>0.01</v>
      </c>
      <c r="BI26">
        <v>9.4600000000000004E-2</v>
      </c>
      <c r="BJ26">
        <v>3.4700000000000002E-2</v>
      </c>
      <c r="BK26">
        <v>1.29E-2</v>
      </c>
      <c r="BL26">
        <v>0.69950000000000001</v>
      </c>
      <c r="BM26">
        <v>3.39E-2</v>
      </c>
      <c r="BN26">
        <v>0.1147</v>
      </c>
      <c r="BO26">
        <v>-0.79</v>
      </c>
      <c r="BP26">
        <v>1.95</v>
      </c>
      <c r="BQ26">
        <v>1.19</v>
      </c>
      <c r="BR26">
        <v>-0.96</v>
      </c>
      <c r="BS26">
        <v>16875000</v>
      </c>
      <c r="BT26">
        <v>718011.66</v>
      </c>
      <c r="BU26">
        <v>9.1999999999999993</v>
      </c>
      <c r="BV26">
        <v>800.28</v>
      </c>
      <c r="BW26">
        <v>5.54</v>
      </c>
      <c r="BX26">
        <v>110762.3134</v>
      </c>
      <c r="BY26">
        <v>3.9931451980000001</v>
      </c>
      <c r="BZ26" s="5">
        <v>106112.98</v>
      </c>
      <c r="CA26" s="5">
        <v>6.24</v>
      </c>
      <c r="CB26" s="5">
        <v>60294.27</v>
      </c>
      <c r="CC26" s="5">
        <v>5.62</v>
      </c>
    </row>
    <row r="27" spans="1:81" x14ac:dyDescent="0.2">
      <c r="A27" s="2">
        <v>39114</v>
      </c>
      <c r="B27">
        <v>2007</v>
      </c>
      <c r="C27">
        <v>2</v>
      </c>
      <c r="E27">
        <v>7.0190000000000001</v>
      </c>
      <c r="F27">
        <v>17.75</v>
      </c>
      <c r="G27">
        <v>16.75</v>
      </c>
      <c r="J27">
        <v>5.6577999999999999</v>
      </c>
      <c r="K27">
        <v>1.171</v>
      </c>
      <c r="L27">
        <v>1.3080000000000001</v>
      </c>
      <c r="M27">
        <v>120.5047</v>
      </c>
      <c r="N27">
        <v>7.7502000000000004</v>
      </c>
      <c r="O27">
        <v>1.1169940220000001</v>
      </c>
      <c r="P27">
        <v>102.9075149</v>
      </c>
      <c r="Q27">
        <v>6.6184457730000004</v>
      </c>
      <c r="R27">
        <v>224176</v>
      </c>
      <c r="S27">
        <v>1268340</v>
      </c>
      <c r="T27">
        <v>161.22999999999999</v>
      </c>
      <c r="U27">
        <v>59.55</v>
      </c>
      <c r="W27">
        <v>11500000</v>
      </c>
      <c r="X27">
        <v>26250000</v>
      </c>
      <c r="Y27">
        <v>2181.7600000000002</v>
      </c>
      <c r="Z27">
        <v>29.43</v>
      </c>
      <c r="AA27">
        <v>201.02</v>
      </c>
      <c r="AB27">
        <v>64.650000000000006</v>
      </c>
      <c r="AC27">
        <v>90.76</v>
      </c>
      <c r="AD27">
        <v>2567.62</v>
      </c>
      <c r="AE27">
        <v>35143958</v>
      </c>
      <c r="AF27">
        <v>544693</v>
      </c>
      <c r="AG27">
        <v>3799854</v>
      </c>
      <c r="AH27">
        <v>1076382</v>
      </c>
      <c r="AI27">
        <v>1787805</v>
      </c>
      <c r="AJ27">
        <v>42352692</v>
      </c>
      <c r="AK27">
        <v>9</v>
      </c>
      <c r="AL27">
        <v>400</v>
      </c>
      <c r="AM27">
        <v>20</v>
      </c>
      <c r="AN27">
        <v>8</v>
      </c>
      <c r="AO27">
        <v>47</v>
      </c>
      <c r="AP27">
        <v>484</v>
      </c>
      <c r="AQ27">
        <v>195935</v>
      </c>
      <c r="AR27">
        <v>6617709</v>
      </c>
      <c r="AS27">
        <v>369737</v>
      </c>
      <c r="AT27">
        <v>121926</v>
      </c>
      <c r="AU27">
        <v>865432</v>
      </c>
      <c r="AV27">
        <v>8170739</v>
      </c>
      <c r="AW27">
        <v>7.31</v>
      </c>
      <c r="AX27">
        <v>8.4</v>
      </c>
      <c r="AY27">
        <v>8.57</v>
      </c>
      <c r="AZ27">
        <v>7.55</v>
      </c>
      <c r="BA27">
        <v>7.48</v>
      </c>
      <c r="BB27">
        <v>9.8699999999999992</v>
      </c>
      <c r="BC27">
        <v>7.5</v>
      </c>
      <c r="BD27">
        <v>8.39</v>
      </c>
      <c r="BE27">
        <v>6.91</v>
      </c>
      <c r="BF27">
        <v>7.66</v>
      </c>
      <c r="BG27">
        <v>0.84970000000000001</v>
      </c>
      <c r="BH27">
        <v>1.15E-2</v>
      </c>
      <c r="BI27">
        <v>7.8299999999999995E-2</v>
      </c>
      <c r="BJ27">
        <v>2.52E-2</v>
      </c>
      <c r="BK27">
        <v>1.8599999999999998E-2</v>
      </c>
      <c r="BL27">
        <v>0.82640000000000002</v>
      </c>
      <c r="BM27">
        <v>4.1300000000000003E-2</v>
      </c>
      <c r="BN27">
        <v>1.6500000000000001E-2</v>
      </c>
      <c r="BO27">
        <v>0.67</v>
      </c>
      <c r="BP27">
        <v>1.0900000000000001</v>
      </c>
      <c r="BQ27">
        <v>1.27</v>
      </c>
      <c r="BR27">
        <v>0.25</v>
      </c>
      <c r="BS27">
        <v>11500000</v>
      </c>
      <c r="BT27">
        <v>122140.36</v>
      </c>
      <c r="BU27">
        <v>13.72</v>
      </c>
      <c r="BV27">
        <v>3483542.11</v>
      </c>
      <c r="BW27">
        <v>12.69</v>
      </c>
      <c r="BZ27" s="5">
        <v>32061.85</v>
      </c>
      <c r="CA27" s="5">
        <v>5.97</v>
      </c>
      <c r="CB27" s="5">
        <v>13315.93</v>
      </c>
      <c r="CC27" s="5">
        <v>8.18</v>
      </c>
    </row>
    <row r="28" spans="1:81" x14ac:dyDescent="0.2">
      <c r="A28" s="2">
        <v>39142</v>
      </c>
      <c r="B28">
        <v>2007</v>
      </c>
      <c r="C28">
        <v>3</v>
      </c>
      <c r="E28">
        <v>8.8330000000000002</v>
      </c>
      <c r="F28">
        <v>17.75</v>
      </c>
      <c r="G28">
        <v>16.559999999999999</v>
      </c>
      <c r="J28">
        <v>7.6917999999999997</v>
      </c>
      <c r="K28">
        <v>1.1681999999999999</v>
      </c>
      <c r="L28">
        <v>1.3246</v>
      </c>
      <c r="M28">
        <v>117.26</v>
      </c>
      <c r="N28">
        <v>7.7369000000000003</v>
      </c>
      <c r="O28">
        <v>1.1338811849999999</v>
      </c>
      <c r="P28">
        <v>100.3766478</v>
      </c>
      <c r="Q28">
        <v>6.6229241569999999</v>
      </c>
      <c r="R28">
        <v>182481</v>
      </c>
      <c r="S28">
        <v>1403616</v>
      </c>
      <c r="T28">
        <v>142.32</v>
      </c>
      <c r="U28">
        <v>59.55</v>
      </c>
      <c r="W28">
        <v>6062500</v>
      </c>
      <c r="X28">
        <v>26250000</v>
      </c>
      <c r="Y28">
        <v>1270.77</v>
      </c>
      <c r="Z28">
        <v>23.36</v>
      </c>
      <c r="AA28">
        <v>203.27</v>
      </c>
      <c r="AB28">
        <v>69.260000000000005</v>
      </c>
      <c r="AC28">
        <v>111.35</v>
      </c>
      <c r="AD28">
        <v>1678.01</v>
      </c>
      <c r="AE28">
        <v>24196989</v>
      </c>
      <c r="AF28">
        <v>423665</v>
      </c>
      <c r="AG28">
        <v>4135538</v>
      </c>
      <c r="AH28">
        <v>1532704</v>
      </c>
      <c r="AI28">
        <v>2031616</v>
      </c>
      <c r="AJ28">
        <v>32320512</v>
      </c>
      <c r="AK28">
        <v>3</v>
      </c>
      <c r="AL28">
        <v>631</v>
      </c>
      <c r="AM28">
        <v>14</v>
      </c>
      <c r="AN28">
        <v>16</v>
      </c>
      <c r="AO28">
        <v>59</v>
      </c>
      <c r="AP28">
        <v>723</v>
      </c>
      <c r="AQ28">
        <v>77250</v>
      </c>
      <c r="AR28">
        <v>10175677</v>
      </c>
      <c r="AS28">
        <v>282013</v>
      </c>
      <c r="AT28">
        <v>270640</v>
      </c>
      <c r="AU28">
        <v>1158112</v>
      </c>
      <c r="AV28">
        <v>11963692</v>
      </c>
      <c r="AW28">
        <v>8.64</v>
      </c>
      <c r="AX28">
        <v>8.23</v>
      </c>
      <c r="AY28">
        <v>9.23</v>
      </c>
      <c r="AZ28">
        <v>10.039999999999999</v>
      </c>
      <c r="BA28">
        <v>8.74</v>
      </c>
      <c r="BB28">
        <v>11.68</v>
      </c>
      <c r="BC28">
        <v>7.31</v>
      </c>
      <c r="BD28">
        <v>9.14</v>
      </c>
      <c r="BE28">
        <v>7.67</v>
      </c>
      <c r="BF28">
        <v>7.51</v>
      </c>
      <c r="BG28">
        <v>0.75729999999999997</v>
      </c>
      <c r="BH28">
        <v>1.3899999999999999E-2</v>
      </c>
      <c r="BI28">
        <v>0.1211</v>
      </c>
      <c r="BJ28">
        <v>4.1300000000000003E-2</v>
      </c>
      <c r="BK28">
        <v>4.1000000000000003E-3</v>
      </c>
      <c r="BL28">
        <v>0.87280000000000002</v>
      </c>
      <c r="BM28">
        <v>1.9400000000000001E-2</v>
      </c>
      <c r="BN28">
        <v>2.2100000000000002E-2</v>
      </c>
      <c r="BO28">
        <v>0.28000000000000003</v>
      </c>
      <c r="BP28">
        <v>-0.41</v>
      </c>
      <c r="BQ28">
        <v>0.59</v>
      </c>
      <c r="BR28">
        <v>1.4</v>
      </c>
      <c r="BS28">
        <v>6062500</v>
      </c>
      <c r="BT28">
        <v>171049.85</v>
      </c>
      <c r="BU28">
        <v>15.38</v>
      </c>
      <c r="BV28">
        <v>2553838.42</v>
      </c>
      <c r="BW28">
        <v>13.83</v>
      </c>
      <c r="BZ28" s="5">
        <v>45441.72</v>
      </c>
      <c r="CA28" s="5">
        <v>8.68</v>
      </c>
      <c r="CB28" s="5">
        <v>5846.66</v>
      </c>
      <c r="CC28" s="5">
        <v>17.420000000000002</v>
      </c>
    </row>
    <row r="29" spans="1:81" x14ac:dyDescent="0.2">
      <c r="A29" s="2">
        <v>39173</v>
      </c>
      <c r="B29">
        <v>2007</v>
      </c>
      <c r="C29">
        <v>4</v>
      </c>
      <c r="E29">
        <v>12.406000000000001</v>
      </c>
      <c r="F29">
        <v>17.75</v>
      </c>
      <c r="G29">
        <v>16.5</v>
      </c>
      <c r="J29">
        <v>9.1062999999999992</v>
      </c>
      <c r="K29">
        <v>1.135</v>
      </c>
      <c r="L29">
        <v>1.3512999999999999</v>
      </c>
      <c r="M29">
        <v>118.9324</v>
      </c>
      <c r="N29">
        <v>7.7247000000000003</v>
      </c>
      <c r="O29">
        <v>1.190572687</v>
      </c>
      <c r="P29">
        <v>104.7862555</v>
      </c>
      <c r="Q29">
        <v>6.8059030839999997</v>
      </c>
      <c r="R29">
        <v>396476</v>
      </c>
      <c r="S29">
        <v>3610445</v>
      </c>
      <c r="T29">
        <v>1464.19</v>
      </c>
      <c r="U29">
        <v>1284.3499999999999</v>
      </c>
      <c r="W29">
        <v>2593750</v>
      </c>
      <c r="X29">
        <v>26250000</v>
      </c>
      <c r="Y29">
        <v>1081.4000000000001</v>
      </c>
      <c r="Z29">
        <v>17.260000000000002</v>
      </c>
      <c r="AA29">
        <v>156.05000000000001</v>
      </c>
      <c r="AB29">
        <v>61.78</v>
      </c>
      <c r="AC29">
        <v>107.46</v>
      </c>
      <c r="AD29">
        <v>1423.95</v>
      </c>
      <c r="AE29">
        <v>25529549</v>
      </c>
      <c r="AF29">
        <v>328007</v>
      </c>
      <c r="AG29">
        <v>3834619</v>
      </c>
      <c r="AH29">
        <v>1572865</v>
      </c>
      <c r="AI29">
        <v>1754046</v>
      </c>
      <c r="AJ29">
        <v>33019086</v>
      </c>
      <c r="AK29">
        <v>0</v>
      </c>
      <c r="AL29">
        <v>302</v>
      </c>
      <c r="AM29">
        <v>5</v>
      </c>
      <c r="AN29">
        <v>5</v>
      </c>
      <c r="AO29">
        <v>27</v>
      </c>
      <c r="AP29">
        <v>339</v>
      </c>
      <c r="AQ29">
        <v>0</v>
      </c>
      <c r="AR29">
        <v>5295995</v>
      </c>
      <c r="AS29">
        <v>106392</v>
      </c>
      <c r="AT29">
        <v>112070</v>
      </c>
      <c r="AU29">
        <v>464460</v>
      </c>
      <c r="AV29">
        <v>5978917</v>
      </c>
      <c r="AW29">
        <v>10.71</v>
      </c>
      <c r="AX29">
        <v>8.6199999999999992</v>
      </c>
      <c r="AY29">
        <v>11.15</v>
      </c>
      <c r="AZ29">
        <v>11.55</v>
      </c>
      <c r="BA29">
        <v>10.52</v>
      </c>
      <c r="BC29">
        <v>7.95</v>
      </c>
      <c r="BD29">
        <v>9.65</v>
      </c>
      <c r="BE29">
        <v>10.17</v>
      </c>
      <c r="BF29">
        <v>8</v>
      </c>
      <c r="BG29">
        <v>0.75939999999999996</v>
      </c>
      <c r="BH29">
        <v>1.21E-2</v>
      </c>
      <c r="BI29">
        <v>0.1096</v>
      </c>
      <c r="BJ29">
        <v>4.3400000000000001E-2</v>
      </c>
      <c r="BK29">
        <v>0</v>
      </c>
      <c r="BL29">
        <v>0.89090000000000003</v>
      </c>
      <c r="BM29">
        <v>1.47E-2</v>
      </c>
      <c r="BN29">
        <v>1.47E-2</v>
      </c>
      <c r="BO29">
        <v>0.73</v>
      </c>
      <c r="BP29">
        <v>-2.09</v>
      </c>
      <c r="BQ29">
        <v>0.44</v>
      </c>
      <c r="BR29">
        <v>0.84</v>
      </c>
      <c r="BS29">
        <v>2593750</v>
      </c>
      <c r="BT29">
        <v>145626.17000000001</v>
      </c>
      <c r="BU29">
        <v>11.9</v>
      </c>
      <c r="BV29">
        <v>29460.34</v>
      </c>
      <c r="BW29">
        <v>5.97</v>
      </c>
      <c r="BZ29" s="5">
        <v>90195.59</v>
      </c>
      <c r="CA29" s="5">
        <v>9.58</v>
      </c>
      <c r="CB29" s="5">
        <v>24596.99</v>
      </c>
      <c r="CC29" s="5">
        <v>8.14</v>
      </c>
    </row>
    <row r="30" spans="1:81" x14ac:dyDescent="0.2">
      <c r="A30" s="2">
        <v>39203</v>
      </c>
      <c r="B30">
        <v>2007</v>
      </c>
      <c r="C30">
        <v>5</v>
      </c>
      <c r="E30">
        <v>7.4249999999999998</v>
      </c>
      <c r="G30">
        <v>16.7</v>
      </c>
      <c r="J30">
        <v>6.0099</v>
      </c>
      <c r="K30">
        <v>1.0951</v>
      </c>
      <c r="L30">
        <v>1.3517999999999999</v>
      </c>
      <c r="M30">
        <v>120.7732</v>
      </c>
      <c r="N30">
        <v>7.6772999999999998</v>
      </c>
      <c r="O30">
        <v>1.2344078169999999</v>
      </c>
      <c r="P30">
        <v>110.2850881</v>
      </c>
      <c r="Q30">
        <v>7.0105926399999996</v>
      </c>
      <c r="R30">
        <v>1553274</v>
      </c>
      <c r="S30">
        <v>9335086</v>
      </c>
      <c r="T30">
        <v>16497.900000000001</v>
      </c>
      <c r="U30">
        <v>15793.35</v>
      </c>
      <c r="W30">
        <v>4516667.5</v>
      </c>
      <c r="X30">
        <v>26250000</v>
      </c>
      <c r="Y30">
        <v>2591.5500000000002</v>
      </c>
      <c r="Z30">
        <v>25.55</v>
      </c>
      <c r="AA30">
        <v>273.72000000000003</v>
      </c>
      <c r="AB30">
        <v>65.3</v>
      </c>
      <c r="AC30">
        <v>97.99</v>
      </c>
      <c r="AD30">
        <v>3054.11</v>
      </c>
      <c r="AE30">
        <v>41796494</v>
      </c>
      <c r="AF30">
        <v>486460</v>
      </c>
      <c r="AG30">
        <v>5108429</v>
      </c>
      <c r="AH30">
        <v>1425238</v>
      </c>
      <c r="AI30">
        <v>1855935</v>
      </c>
      <c r="AJ30">
        <v>50672556</v>
      </c>
      <c r="AK30">
        <v>0</v>
      </c>
      <c r="AL30">
        <v>679</v>
      </c>
      <c r="AM30">
        <v>15</v>
      </c>
      <c r="AN30">
        <v>8</v>
      </c>
      <c r="AO30">
        <v>41</v>
      </c>
      <c r="AP30">
        <v>743</v>
      </c>
      <c r="AQ30">
        <v>0</v>
      </c>
      <c r="AR30">
        <v>11599457</v>
      </c>
      <c r="AS30">
        <v>262140</v>
      </c>
      <c r="AT30">
        <v>111562</v>
      </c>
      <c r="AU30">
        <v>808503</v>
      </c>
      <c r="AV30">
        <v>12781662</v>
      </c>
      <c r="AW30">
        <v>7.32</v>
      </c>
      <c r="AX30">
        <v>8.64</v>
      </c>
      <c r="AY30">
        <v>8.4700000000000006</v>
      </c>
      <c r="AZ30">
        <v>9.9</v>
      </c>
      <c r="BA30">
        <v>7.53</v>
      </c>
      <c r="BC30">
        <v>7.75</v>
      </c>
      <c r="BD30">
        <v>7.93</v>
      </c>
      <c r="BE30">
        <v>6.33</v>
      </c>
      <c r="BF30">
        <v>7.8</v>
      </c>
      <c r="BG30">
        <v>0.84850000000000003</v>
      </c>
      <c r="BH30">
        <v>8.3999999999999995E-3</v>
      </c>
      <c r="BI30">
        <v>8.9599999999999999E-2</v>
      </c>
      <c r="BJ30">
        <v>2.1399999999999999E-2</v>
      </c>
      <c r="BK30">
        <v>0</v>
      </c>
      <c r="BL30">
        <v>0.91390000000000005</v>
      </c>
      <c r="BM30">
        <v>2.0199999999999999E-2</v>
      </c>
      <c r="BN30">
        <v>1.0800000000000001E-2</v>
      </c>
      <c r="BO30">
        <v>-0.35</v>
      </c>
      <c r="BP30">
        <v>1.32</v>
      </c>
      <c r="BQ30">
        <v>1.1499999999999999</v>
      </c>
      <c r="BR30">
        <v>2.58</v>
      </c>
      <c r="BS30">
        <v>4516667.5</v>
      </c>
      <c r="BT30">
        <v>964792.42</v>
      </c>
      <c r="BU30">
        <v>11.68</v>
      </c>
      <c r="BV30">
        <v>1503971.92</v>
      </c>
      <c r="BW30">
        <v>14.08</v>
      </c>
      <c r="BZ30" s="5">
        <v>94558.55</v>
      </c>
      <c r="CA30" s="5">
        <v>7.81</v>
      </c>
      <c r="CB30" s="5">
        <v>249371.68</v>
      </c>
      <c r="CC30" s="5">
        <v>5.81</v>
      </c>
    </row>
    <row r="31" spans="1:81" x14ac:dyDescent="0.2">
      <c r="A31" s="2">
        <v>39234</v>
      </c>
      <c r="B31">
        <v>2007</v>
      </c>
      <c r="C31">
        <v>6</v>
      </c>
      <c r="E31">
        <v>7.4059999999999997</v>
      </c>
      <c r="G31">
        <v>17.25</v>
      </c>
      <c r="J31">
        <v>5.7824999999999998</v>
      </c>
      <c r="K31">
        <v>1.0650999999999999</v>
      </c>
      <c r="L31">
        <v>1.3421000000000001</v>
      </c>
      <c r="M31">
        <v>122.68859999999999</v>
      </c>
      <c r="N31">
        <v>7.6333000000000002</v>
      </c>
      <c r="O31">
        <v>1.260069477</v>
      </c>
      <c r="P31">
        <v>115.1897474</v>
      </c>
      <c r="Q31">
        <v>7.166744907</v>
      </c>
      <c r="R31">
        <v>1998351</v>
      </c>
      <c r="S31">
        <v>11555531</v>
      </c>
      <c r="T31">
        <v>10595.04</v>
      </c>
      <c r="U31">
        <v>9688.6</v>
      </c>
      <c r="W31">
        <v>19718750</v>
      </c>
      <c r="X31">
        <v>26250000</v>
      </c>
      <c r="Y31">
        <v>2476.6799999999998</v>
      </c>
      <c r="Z31">
        <v>28.16</v>
      </c>
      <c r="AA31">
        <v>295</v>
      </c>
      <c r="AB31">
        <v>68.03</v>
      </c>
      <c r="AC31">
        <v>90.22</v>
      </c>
      <c r="AD31">
        <v>2958.09</v>
      </c>
      <c r="AE31">
        <v>38344820</v>
      </c>
      <c r="AF31">
        <v>530952</v>
      </c>
      <c r="AG31">
        <v>5514772</v>
      </c>
      <c r="AH31">
        <v>1272358</v>
      </c>
      <c r="AI31">
        <v>1783397</v>
      </c>
      <c r="AJ31">
        <v>47446299</v>
      </c>
      <c r="AK31">
        <v>0</v>
      </c>
      <c r="AL31">
        <v>607</v>
      </c>
      <c r="AM31">
        <v>17</v>
      </c>
      <c r="AN31">
        <v>68</v>
      </c>
      <c r="AO31">
        <v>31</v>
      </c>
      <c r="AP31">
        <v>723</v>
      </c>
      <c r="AQ31">
        <v>0</v>
      </c>
      <c r="AR31">
        <v>10002811</v>
      </c>
      <c r="AS31">
        <v>323835</v>
      </c>
      <c r="AT31">
        <v>858396</v>
      </c>
      <c r="AU31">
        <v>591050</v>
      </c>
      <c r="AV31">
        <v>11776092</v>
      </c>
      <c r="AW31">
        <v>7.02</v>
      </c>
      <c r="AX31">
        <v>8.5500000000000007</v>
      </c>
      <c r="AY31">
        <v>8.48</v>
      </c>
      <c r="AZ31">
        <v>8.48</v>
      </c>
      <c r="BA31">
        <v>7.28</v>
      </c>
      <c r="BC31">
        <v>7.47</v>
      </c>
      <c r="BD31">
        <v>8.64</v>
      </c>
      <c r="BE31">
        <v>5.73</v>
      </c>
      <c r="BF31">
        <v>7.39</v>
      </c>
      <c r="BG31">
        <v>0.83730000000000004</v>
      </c>
      <c r="BH31">
        <v>9.4999999999999998E-3</v>
      </c>
      <c r="BI31">
        <v>9.9699999999999997E-2</v>
      </c>
      <c r="BJ31">
        <v>2.3E-2</v>
      </c>
      <c r="BK31">
        <v>0</v>
      </c>
      <c r="BL31">
        <v>0.83960000000000001</v>
      </c>
      <c r="BM31">
        <v>2.35E-2</v>
      </c>
      <c r="BN31">
        <v>9.4100000000000003E-2</v>
      </c>
      <c r="BO31">
        <v>-0.87</v>
      </c>
      <c r="BP31">
        <v>1.53</v>
      </c>
      <c r="BQ31">
        <v>1.46</v>
      </c>
      <c r="BR31">
        <v>1.46</v>
      </c>
      <c r="BS31">
        <v>19718750</v>
      </c>
      <c r="BT31">
        <v>2081760.94</v>
      </c>
      <c r="BU31">
        <v>11.81</v>
      </c>
      <c r="BV31">
        <v>6000.98</v>
      </c>
      <c r="BW31">
        <v>6.02</v>
      </c>
      <c r="BZ31" s="5">
        <v>284921.25</v>
      </c>
      <c r="CA31" s="5">
        <v>9.43</v>
      </c>
      <c r="CB31" s="5">
        <v>1881611.67</v>
      </c>
      <c r="CC31" s="5">
        <v>7.44</v>
      </c>
    </row>
    <row r="32" spans="1:81" x14ac:dyDescent="0.2">
      <c r="A32" s="2">
        <v>39264</v>
      </c>
      <c r="B32">
        <v>2007</v>
      </c>
      <c r="C32">
        <v>7</v>
      </c>
      <c r="E32">
        <v>8.2330000000000005</v>
      </c>
      <c r="G32">
        <v>17.25</v>
      </c>
      <c r="J32">
        <v>4.7652999999999999</v>
      </c>
      <c r="K32">
        <v>1.0502</v>
      </c>
      <c r="L32">
        <v>1.3726</v>
      </c>
      <c r="M32">
        <v>121.4148</v>
      </c>
      <c r="N32">
        <v>7.5757000000000003</v>
      </c>
      <c r="O32">
        <v>1.306989145</v>
      </c>
      <c r="P32">
        <v>115.6111217</v>
      </c>
      <c r="Q32">
        <v>7.2135783660000001</v>
      </c>
      <c r="R32">
        <v>7688718</v>
      </c>
      <c r="S32">
        <v>36638726</v>
      </c>
      <c r="T32">
        <v>4388</v>
      </c>
      <c r="U32">
        <v>900.45</v>
      </c>
      <c r="W32">
        <v>21250000</v>
      </c>
      <c r="X32">
        <v>26250000</v>
      </c>
      <c r="Y32">
        <v>1569.05</v>
      </c>
      <c r="Z32">
        <v>28.04</v>
      </c>
      <c r="AA32">
        <v>246.44</v>
      </c>
      <c r="AB32">
        <v>58.78</v>
      </c>
      <c r="AC32">
        <v>84.22</v>
      </c>
      <c r="AD32">
        <v>1986.53</v>
      </c>
      <c r="AE32">
        <v>25627017</v>
      </c>
      <c r="AF32">
        <v>521587</v>
      </c>
      <c r="AG32">
        <v>4528785</v>
      </c>
      <c r="AH32">
        <v>1178621</v>
      </c>
      <c r="AI32">
        <v>1539181</v>
      </c>
      <c r="AJ32">
        <v>33395191</v>
      </c>
      <c r="AK32">
        <v>0</v>
      </c>
      <c r="AL32">
        <v>726</v>
      </c>
      <c r="AM32">
        <v>19</v>
      </c>
      <c r="AN32">
        <v>840</v>
      </c>
      <c r="AO32">
        <v>72</v>
      </c>
      <c r="AP32">
        <v>1657</v>
      </c>
      <c r="AQ32">
        <v>0</v>
      </c>
      <c r="AR32">
        <v>12223178</v>
      </c>
      <c r="AS32">
        <v>405195</v>
      </c>
      <c r="AT32">
        <v>9216812</v>
      </c>
      <c r="AU32">
        <v>1442611</v>
      </c>
      <c r="AV32">
        <v>23287796</v>
      </c>
      <c r="AW32">
        <v>7.41</v>
      </c>
      <c r="AX32">
        <v>8.44</v>
      </c>
      <c r="AY32">
        <v>8.34</v>
      </c>
      <c r="AZ32">
        <v>9.1</v>
      </c>
      <c r="BA32">
        <v>7.63</v>
      </c>
      <c r="BC32">
        <v>7.64</v>
      </c>
      <c r="BD32">
        <v>9.67</v>
      </c>
      <c r="BE32">
        <v>4.9800000000000004</v>
      </c>
      <c r="BF32">
        <v>6.37</v>
      </c>
      <c r="BG32">
        <v>0.78979999999999995</v>
      </c>
      <c r="BH32">
        <v>1.41E-2</v>
      </c>
      <c r="BI32">
        <v>0.1241</v>
      </c>
      <c r="BJ32">
        <v>2.9600000000000001E-2</v>
      </c>
      <c r="BK32">
        <v>0</v>
      </c>
      <c r="BL32">
        <v>0.43809999999999999</v>
      </c>
      <c r="BM32">
        <v>1.15E-2</v>
      </c>
      <c r="BN32">
        <v>0.50690000000000002</v>
      </c>
      <c r="BO32">
        <v>-2.08</v>
      </c>
      <c r="BP32">
        <v>1.03</v>
      </c>
      <c r="BQ32">
        <v>0.93</v>
      </c>
      <c r="BR32">
        <v>1.69</v>
      </c>
      <c r="BS32">
        <v>21250000</v>
      </c>
      <c r="BT32">
        <v>893188.57</v>
      </c>
      <c r="BU32">
        <v>11.94</v>
      </c>
      <c r="BV32">
        <v>106130.41</v>
      </c>
      <c r="BW32">
        <v>16.64</v>
      </c>
      <c r="BX32">
        <v>509.26722000000001</v>
      </c>
      <c r="BY32">
        <v>0.95234874899999999</v>
      </c>
      <c r="BZ32" s="5">
        <v>506362.55</v>
      </c>
      <c r="CA32" s="5">
        <v>7.4</v>
      </c>
      <c r="CB32" s="5">
        <v>1347938.24</v>
      </c>
      <c r="CC32" s="5">
        <v>8.43</v>
      </c>
    </row>
    <row r="33" spans="1:81" x14ac:dyDescent="0.2">
      <c r="A33" s="2">
        <v>39295</v>
      </c>
      <c r="B33">
        <v>2007</v>
      </c>
      <c r="C33">
        <v>8</v>
      </c>
      <c r="E33">
        <v>7.2610000000000001</v>
      </c>
      <c r="F33">
        <v>19.75</v>
      </c>
      <c r="G33">
        <v>17.03</v>
      </c>
      <c r="J33">
        <v>4.0842000000000001</v>
      </c>
      <c r="K33">
        <v>1.0579000000000001</v>
      </c>
      <c r="L33">
        <v>1.3626</v>
      </c>
      <c r="M33">
        <v>116.73350000000001</v>
      </c>
      <c r="N33">
        <v>7.5734000000000004</v>
      </c>
      <c r="O33">
        <v>1.2880234429999999</v>
      </c>
      <c r="P33">
        <v>110.3445505</v>
      </c>
      <c r="Q33">
        <v>7.1588997069999998</v>
      </c>
      <c r="R33">
        <v>15614615</v>
      </c>
      <c r="S33">
        <v>63773787</v>
      </c>
      <c r="T33">
        <v>7408.78</v>
      </c>
      <c r="U33">
        <v>326.10000000000002</v>
      </c>
      <c r="W33">
        <v>14667808.5</v>
      </c>
      <c r="X33">
        <v>26250000</v>
      </c>
      <c r="Y33">
        <v>1029.26</v>
      </c>
      <c r="Z33">
        <v>27.06</v>
      </c>
      <c r="AA33">
        <v>237.08</v>
      </c>
      <c r="AB33">
        <v>61.16</v>
      </c>
      <c r="AC33">
        <v>73.61</v>
      </c>
      <c r="AD33">
        <v>1428.17</v>
      </c>
      <c r="AE33">
        <v>17665698</v>
      </c>
      <c r="AF33">
        <v>508771</v>
      </c>
      <c r="AG33">
        <v>4527615</v>
      </c>
      <c r="AH33">
        <v>967461</v>
      </c>
      <c r="AI33">
        <v>1622008</v>
      </c>
      <c r="AJ33">
        <v>25291553</v>
      </c>
      <c r="AK33">
        <v>0</v>
      </c>
      <c r="AL33">
        <v>803</v>
      </c>
      <c r="AM33">
        <v>15</v>
      </c>
      <c r="AN33">
        <v>3730</v>
      </c>
      <c r="AO33">
        <v>46</v>
      </c>
      <c r="AP33">
        <v>4594</v>
      </c>
      <c r="AQ33">
        <v>0</v>
      </c>
      <c r="AR33">
        <v>13163334</v>
      </c>
      <c r="AS33">
        <v>322785</v>
      </c>
      <c r="AT33">
        <v>38846708</v>
      </c>
      <c r="AU33">
        <v>823957</v>
      </c>
      <c r="AV33">
        <v>53156784</v>
      </c>
      <c r="AW33">
        <v>7.79</v>
      </c>
      <c r="AX33">
        <v>8.5299999999999994</v>
      </c>
      <c r="AY33">
        <v>8.66</v>
      </c>
      <c r="AZ33">
        <v>7.18</v>
      </c>
      <c r="BA33">
        <v>8.0299999999999994</v>
      </c>
      <c r="BC33">
        <v>7.44</v>
      </c>
      <c r="BD33">
        <v>9.76</v>
      </c>
      <c r="BE33">
        <v>4.72</v>
      </c>
      <c r="BF33">
        <v>5.25</v>
      </c>
      <c r="BG33">
        <v>0.72070000000000001</v>
      </c>
      <c r="BH33">
        <v>1.89E-2</v>
      </c>
      <c r="BI33">
        <v>0.16600000000000001</v>
      </c>
      <c r="BJ33">
        <v>4.2799999999999998E-2</v>
      </c>
      <c r="BK33">
        <v>0</v>
      </c>
      <c r="BL33">
        <v>0.17480000000000001</v>
      </c>
      <c r="BM33">
        <v>3.3E-3</v>
      </c>
      <c r="BN33">
        <v>0.81189999999999996</v>
      </c>
      <c r="BO33">
        <v>-2.64</v>
      </c>
      <c r="BP33">
        <v>0.74</v>
      </c>
      <c r="BQ33">
        <v>0.88</v>
      </c>
      <c r="BR33">
        <v>-0.61</v>
      </c>
      <c r="BS33">
        <v>14667808.5</v>
      </c>
      <c r="BT33">
        <v>1150747.71</v>
      </c>
      <c r="BU33">
        <v>11.52</v>
      </c>
      <c r="BV33">
        <v>1649260.79</v>
      </c>
      <c r="BW33">
        <v>15.2</v>
      </c>
      <c r="BX33">
        <v>116311.342</v>
      </c>
      <c r="BY33">
        <v>2.0825484080000001</v>
      </c>
      <c r="BZ33" s="5">
        <v>239254.66</v>
      </c>
      <c r="CA33" s="5">
        <v>8.11</v>
      </c>
      <c r="CB33" s="5">
        <v>671043.57999999996</v>
      </c>
      <c r="CC33" s="5">
        <v>7.26</v>
      </c>
    </row>
    <row r="34" spans="1:81" x14ac:dyDescent="0.2">
      <c r="A34" s="2">
        <v>39326</v>
      </c>
      <c r="B34">
        <v>2007</v>
      </c>
      <c r="C34">
        <v>9</v>
      </c>
      <c r="E34">
        <v>5.7690000000000001</v>
      </c>
      <c r="F34">
        <v>19.75</v>
      </c>
      <c r="G34">
        <v>16.690000000000001</v>
      </c>
      <c r="J34">
        <v>4.0186999999999999</v>
      </c>
      <c r="K34">
        <v>1.0266999999999999</v>
      </c>
      <c r="L34">
        <v>1.391</v>
      </c>
      <c r="M34">
        <v>115.04349999999999</v>
      </c>
      <c r="N34">
        <v>7.5209999999999999</v>
      </c>
      <c r="O34">
        <v>1.3548261420000001</v>
      </c>
      <c r="P34">
        <v>112.0517191</v>
      </c>
      <c r="Q34">
        <v>7.3254115129999997</v>
      </c>
      <c r="R34">
        <v>11915731</v>
      </c>
      <c r="S34">
        <v>47885224</v>
      </c>
      <c r="T34">
        <v>5730.99</v>
      </c>
      <c r="U34">
        <v>326.10000000000002</v>
      </c>
      <c r="W34">
        <v>7917186.7999999998</v>
      </c>
      <c r="X34">
        <v>26250000</v>
      </c>
      <c r="Y34">
        <v>468.47</v>
      </c>
      <c r="Z34">
        <v>27.34</v>
      </c>
      <c r="AA34">
        <v>244.19</v>
      </c>
      <c r="AB34">
        <v>55.75</v>
      </c>
      <c r="AC34">
        <v>93.11</v>
      </c>
      <c r="AD34">
        <v>888.86</v>
      </c>
      <c r="AE34">
        <v>7989627</v>
      </c>
      <c r="AF34">
        <v>511382</v>
      </c>
      <c r="AG34">
        <v>4653339</v>
      </c>
      <c r="AH34">
        <v>1167584</v>
      </c>
      <c r="AI34">
        <v>1693348</v>
      </c>
      <c r="AJ34">
        <v>16015280</v>
      </c>
      <c r="AK34">
        <v>0</v>
      </c>
      <c r="AL34">
        <v>821</v>
      </c>
      <c r="AM34">
        <v>24</v>
      </c>
      <c r="AN34">
        <v>3314</v>
      </c>
      <c r="AO34">
        <v>36</v>
      </c>
      <c r="AP34">
        <v>4195</v>
      </c>
      <c r="AQ34">
        <v>0</v>
      </c>
      <c r="AR34">
        <v>13700560</v>
      </c>
      <c r="AS34">
        <v>480613</v>
      </c>
      <c r="AT34">
        <v>34851461</v>
      </c>
      <c r="AU34">
        <v>678678</v>
      </c>
      <c r="AV34">
        <v>49711312</v>
      </c>
      <c r="AW34">
        <v>7.74</v>
      </c>
      <c r="AX34">
        <v>8.48</v>
      </c>
      <c r="AY34">
        <v>8.64</v>
      </c>
      <c r="AZ34">
        <v>9.5</v>
      </c>
      <c r="BA34">
        <v>8.17</v>
      </c>
      <c r="BC34">
        <v>7.57</v>
      </c>
      <c r="BD34">
        <v>9.08</v>
      </c>
      <c r="BE34">
        <v>4.7699999999999996</v>
      </c>
      <c r="BF34">
        <v>5.38</v>
      </c>
      <c r="BG34">
        <v>0.52700000000000002</v>
      </c>
      <c r="BH34">
        <v>3.0800000000000001E-2</v>
      </c>
      <c r="BI34">
        <v>0.2747</v>
      </c>
      <c r="BJ34">
        <v>6.2700000000000006E-2</v>
      </c>
      <c r="BK34">
        <v>0</v>
      </c>
      <c r="BL34">
        <v>0.19570000000000001</v>
      </c>
      <c r="BM34">
        <v>5.7000000000000002E-3</v>
      </c>
      <c r="BN34">
        <v>0.79</v>
      </c>
      <c r="BO34">
        <v>-2.76</v>
      </c>
      <c r="BP34">
        <v>0.74</v>
      </c>
      <c r="BQ34">
        <v>0.91</v>
      </c>
      <c r="BR34">
        <v>1.76</v>
      </c>
      <c r="BS34">
        <v>7917186.7999999998</v>
      </c>
      <c r="BT34">
        <v>1245356.77</v>
      </c>
      <c r="BU34">
        <v>10.86</v>
      </c>
      <c r="BV34">
        <v>64077.279999999999</v>
      </c>
      <c r="BW34">
        <v>16.39</v>
      </c>
      <c r="BZ34" s="5">
        <v>281030.09000000003</v>
      </c>
      <c r="CA34" s="5">
        <v>9.6</v>
      </c>
      <c r="CB34" s="5">
        <v>426224.45</v>
      </c>
      <c r="CC34" s="5">
        <v>8.2100000000000009</v>
      </c>
    </row>
    <row r="35" spans="1:81" x14ac:dyDescent="0.2">
      <c r="A35" s="2">
        <v>39356</v>
      </c>
      <c r="B35">
        <v>2007</v>
      </c>
      <c r="C35">
        <v>10</v>
      </c>
      <c r="E35">
        <v>5.8220000000000001</v>
      </c>
      <c r="F35">
        <v>19.559999999999999</v>
      </c>
      <c r="G35">
        <v>16.5</v>
      </c>
      <c r="J35">
        <v>4.2557999999999998</v>
      </c>
      <c r="K35">
        <v>0.97540000000000004</v>
      </c>
      <c r="L35">
        <v>1.4233</v>
      </c>
      <c r="M35">
        <v>115.8661</v>
      </c>
      <c r="N35">
        <v>7.5019</v>
      </c>
      <c r="O35">
        <v>1.4591962270000001</v>
      </c>
      <c r="P35">
        <v>118.788292</v>
      </c>
      <c r="Q35">
        <v>7.6911010869999998</v>
      </c>
      <c r="R35">
        <v>12783395</v>
      </c>
      <c r="S35">
        <v>54403607</v>
      </c>
      <c r="T35">
        <v>6362.76</v>
      </c>
      <c r="U35">
        <v>564.29999999999995</v>
      </c>
      <c r="W35">
        <v>3400000</v>
      </c>
      <c r="X35">
        <v>26250000</v>
      </c>
      <c r="Y35">
        <v>505.25</v>
      </c>
      <c r="Z35">
        <v>26.04</v>
      </c>
      <c r="AA35">
        <v>199.06</v>
      </c>
      <c r="AB35">
        <v>48.86</v>
      </c>
      <c r="AC35">
        <v>78.959999999999994</v>
      </c>
      <c r="AD35">
        <v>858.17</v>
      </c>
      <c r="AE35">
        <v>6929870</v>
      </c>
      <c r="AF35">
        <v>491735</v>
      </c>
      <c r="AG35">
        <v>3588827</v>
      </c>
      <c r="AH35">
        <v>1059548</v>
      </c>
      <c r="AI35">
        <v>1312028</v>
      </c>
      <c r="AJ35">
        <v>13382008</v>
      </c>
      <c r="AK35">
        <v>46</v>
      </c>
      <c r="AL35">
        <v>901</v>
      </c>
      <c r="AM35">
        <v>49</v>
      </c>
      <c r="AN35">
        <v>3568</v>
      </c>
      <c r="AO35">
        <v>85</v>
      </c>
      <c r="AP35">
        <v>4649</v>
      </c>
      <c r="AQ35">
        <v>1078400</v>
      </c>
      <c r="AR35">
        <v>14864311</v>
      </c>
      <c r="AS35">
        <v>886038</v>
      </c>
      <c r="AT35">
        <v>39178034</v>
      </c>
      <c r="AU35">
        <v>1701733</v>
      </c>
      <c r="AV35">
        <v>57708516</v>
      </c>
      <c r="AW35">
        <v>6.22</v>
      </c>
      <c r="AX35">
        <v>8.57</v>
      </c>
      <c r="AY35">
        <v>8.18</v>
      </c>
      <c r="AZ35">
        <v>9.84</v>
      </c>
      <c r="BA35">
        <v>7.07</v>
      </c>
      <c r="BB35">
        <v>10.63</v>
      </c>
      <c r="BC35">
        <v>7.48</v>
      </c>
      <c r="BD35">
        <v>8.1999999999999993</v>
      </c>
      <c r="BE35">
        <v>4.9800000000000004</v>
      </c>
      <c r="BF35">
        <v>5.63</v>
      </c>
      <c r="BG35">
        <v>0.58879999999999999</v>
      </c>
      <c r="BH35">
        <v>3.0300000000000001E-2</v>
      </c>
      <c r="BI35">
        <v>0.23200000000000001</v>
      </c>
      <c r="BJ35">
        <v>5.6899999999999999E-2</v>
      </c>
      <c r="BK35">
        <v>9.9000000000000008E-3</v>
      </c>
      <c r="BL35">
        <v>0.1938</v>
      </c>
      <c r="BM35">
        <v>1.0500000000000001E-2</v>
      </c>
      <c r="BN35">
        <v>0.76749999999999996</v>
      </c>
      <c r="BO35">
        <v>-1.4</v>
      </c>
      <c r="BP35">
        <v>2.35</v>
      </c>
      <c r="BQ35">
        <v>1.96</v>
      </c>
      <c r="BR35">
        <v>3.61</v>
      </c>
      <c r="BS35">
        <v>3400000</v>
      </c>
      <c r="BT35">
        <v>1252127.1599999999</v>
      </c>
      <c r="BU35">
        <v>10.93</v>
      </c>
      <c r="BV35">
        <v>1657543.55</v>
      </c>
      <c r="BW35">
        <v>15.31</v>
      </c>
      <c r="BZ35" s="5">
        <v>172950.58</v>
      </c>
      <c r="CA35" s="5">
        <v>8.75</v>
      </c>
      <c r="CB35" s="5">
        <v>234435.35</v>
      </c>
      <c r="CC35" s="5">
        <v>9.65</v>
      </c>
    </row>
    <row r="36" spans="1:81" x14ac:dyDescent="0.2">
      <c r="A36" s="2">
        <v>39387</v>
      </c>
      <c r="B36">
        <v>2007</v>
      </c>
      <c r="C36">
        <v>11</v>
      </c>
      <c r="E36">
        <v>5.8330000000000002</v>
      </c>
      <c r="F36">
        <v>19.5</v>
      </c>
      <c r="G36">
        <v>16.5</v>
      </c>
      <c r="J36">
        <v>4.2275999999999998</v>
      </c>
      <c r="K36">
        <v>0.96719999999999995</v>
      </c>
      <c r="L36">
        <v>1.4682999999999999</v>
      </c>
      <c r="M36">
        <v>111.0729</v>
      </c>
      <c r="N36">
        <v>7.4210000000000003</v>
      </c>
      <c r="O36">
        <v>1.5180934660000001</v>
      </c>
      <c r="P36">
        <v>114.83964020000001</v>
      </c>
      <c r="Q36">
        <v>7.6726633580000003</v>
      </c>
      <c r="R36">
        <v>7243425</v>
      </c>
      <c r="S36">
        <v>30622582</v>
      </c>
      <c r="T36">
        <v>4359.72</v>
      </c>
      <c r="U36">
        <v>1074.1500000000001</v>
      </c>
      <c r="W36">
        <v>2833333.3</v>
      </c>
      <c r="X36">
        <v>26250000</v>
      </c>
      <c r="Y36">
        <v>651.17999999999995</v>
      </c>
      <c r="Z36">
        <v>22.5</v>
      </c>
      <c r="AA36">
        <v>167.69</v>
      </c>
      <c r="AB36">
        <v>57.76</v>
      </c>
      <c r="AC36">
        <v>76.180000000000007</v>
      </c>
      <c r="AD36">
        <v>975.31</v>
      </c>
      <c r="AE36">
        <v>8169340</v>
      </c>
      <c r="AF36">
        <v>389585</v>
      </c>
      <c r="AG36">
        <v>2963372</v>
      </c>
      <c r="AH36">
        <v>829585</v>
      </c>
      <c r="AI36">
        <v>1483353</v>
      </c>
      <c r="AJ36">
        <v>13835235</v>
      </c>
      <c r="AK36">
        <v>31</v>
      </c>
      <c r="AL36">
        <v>792</v>
      </c>
      <c r="AM36">
        <v>55</v>
      </c>
      <c r="AN36">
        <v>2119</v>
      </c>
      <c r="AO36">
        <v>73</v>
      </c>
      <c r="AP36">
        <v>3070</v>
      </c>
      <c r="AQ36">
        <v>734346</v>
      </c>
      <c r="AR36">
        <v>13123186</v>
      </c>
      <c r="AS36">
        <v>950335</v>
      </c>
      <c r="AT36">
        <v>23081840</v>
      </c>
      <c r="AU36">
        <v>1126562</v>
      </c>
      <c r="AV36">
        <v>39016269</v>
      </c>
      <c r="AW36">
        <v>5.69</v>
      </c>
      <c r="AX36">
        <v>7.85</v>
      </c>
      <c r="AY36">
        <v>8.02</v>
      </c>
      <c r="AZ36">
        <v>6.51</v>
      </c>
      <c r="BA36">
        <v>6.43</v>
      </c>
      <c r="BB36">
        <v>10.74</v>
      </c>
      <c r="BC36">
        <v>7.52</v>
      </c>
      <c r="BD36">
        <v>7.84</v>
      </c>
      <c r="BE36">
        <v>4.9400000000000004</v>
      </c>
      <c r="BF36">
        <v>5.76</v>
      </c>
      <c r="BG36">
        <v>0.66769999999999996</v>
      </c>
      <c r="BH36">
        <v>2.3099999999999999E-2</v>
      </c>
      <c r="BI36">
        <v>0.1719</v>
      </c>
      <c r="BJ36">
        <v>5.9200000000000003E-2</v>
      </c>
      <c r="BK36">
        <v>1.01E-2</v>
      </c>
      <c r="BL36">
        <v>0.25800000000000001</v>
      </c>
      <c r="BM36">
        <v>1.7899999999999999E-2</v>
      </c>
      <c r="BN36">
        <v>0.69020000000000004</v>
      </c>
      <c r="BO36">
        <v>-0.94</v>
      </c>
      <c r="BP36">
        <v>2.16</v>
      </c>
      <c r="BQ36">
        <v>2.33</v>
      </c>
      <c r="BR36">
        <v>0.82</v>
      </c>
      <c r="BS36">
        <v>2833333.3</v>
      </c>
      <c r="BT36">
        <v>814812.12</v>
      </c>
      <c r="BU36">
        <v>11.1</v>
      </c>
      <c r="BV36">
        <v>2573106.7999999998</v>
      </c>
      <c r="BW36">
        <v>15.41</v>
      </c>
      <c r="BZ36" s="5">
        <v>266100.37</v>
      </c>
      <c r="CA36" s="5">
        <v>4.2300000000000004</v>
      </c>
      <c r="CB36" s="5">
        <v>350235.45</v>
      </c>
      <c r="CC36" s="5">
        <v>9.56</v>
      </c>
    </row>
    <row r="37" spans="1:81" x14ac:dyDescent="0.2">
      <c r="A37" s="2">
        <v>39417</v>
      </c>
      <c r="B37">
        <v>2007</v>
      </c>
      <c r="C37">
        <v>12</v>
      </c>
      <c r="E37">
        <v>7.0330000000000004</v>
      </c>
      <c r="F37">
        <v>19.5</v>
      </c>
      <c r="G37">
        <v>16.5</v>
      </c>
      <c r="I37">
        <v>5.69</v>
      </c>
      <c r="J37">
        <v>4.6371000000000002</v>
      </c>
      <c r="K37">
        <v>1.0021</v>
      </c>
      <c r="L37">
        <v>1.4559</v>
      </c>
      <c r="M37">
        <v>112.449</v>
      </c>
      <c r="N37">
        <v>7.3681999999999999</v>
      </c>
      <c r="O37">
        <v>1.4528490169999999</v>
      </c>
      <c r="P37">
        <v>112.213352</v>
      </c>
      <c r="Q37">
        <v>7.352759206</v>
      </c>
      <c r="R37">
        <v>3704445</v>
      </c>
      <c r="S37">
        <v>17177844</v>
      </c>
      <c r="T37">
        <v>14453.41</v>
      </c>
      <c r="U37">
        <v>12773.1</v>
      </c>
      <c r="W37">
        <v>21250000</v>
      </c>
      <c r="X37">
        <v>26250000</v>
      </c>
      <c r="Y37">
        <v>3993.11</v>
      </c>
      <c r="Z37">
        <v>49.31</v>
      </c>
      <c r="AA37">
        <v>952.22</v>
      </c>
      <c r="AB37">
        <v>126.9</v>
      </c>
      <c r="AC37">
        <v>130.26</v>
      </c>
      <c r="AD37">
        <v>5251.8</v>
      </c>
      <c r="AE37">
        <v>61447844</v>
      </c>
      <c r="AF37">
        <v>898065</v>
      </c>
      <c r="AG37">
        <v>17756031</v>
      </c>
      <c r="AH37">
        <v>1741740</v>
      </c>
      <c r="AI37">
        <v>2996466</v>
      </c>
      <c r="AJ37">
        <v>84840146</v>
      </c>
      <c r="AK37">
        <v>19</v>
      </c>
      <c r="AL37">
        <v>2049</v>
      </c>
      <c r="AM37">
        <v>49</v>
      </c>
      <c r="AN37">
        <v>606</v>
      </c>
      <c r="AO37">
        <v>78</v>
      </c>
      <c r="AP37">
        <v>2801</v>
      </c>
      <c r="AQ37">
        <v>463625</v>
      </c>
      <c r="AR37">
        <v>35250933</v>
      </c>
      <c r="AS37">
        <v>1000536</v>
      </c>
      <c r="AT37">
        <v>7087322</v>
      </c>
      <c r="AU37">
        <v>1527910</v>
      </c>
      <c r="AV37">
        <v>45330326</v>
      </c>
      <c r="AW37">
        <v>6.98</v>
      </c>
      <c r="AX37">
        <v>8.26</v>
      </c>
      <c r="AY37">
        <v>8.4600000000000009</v>
      </c>
      <c r="AZ37">
        <v>6.23</v>
      </c>
      <c r="BA37">
        <v>7.33</v>
      </c>
      <c r="BB37">
        <v>11.07</v>
      </c>
      <c r="BC37">
        <v>7.8</v>
      </c>
      <c r="BD37">
        <v>9.26</v>
      </c>
      <c r="BE37">
        <v>5.3</v>
      </c>
      <c r="BF37">
        <v>7.34</v>
      </c>
      <c r="BG37">
        <v>0.76029999999999998</v>
      </c>
      <c r="BH37">
        <v>9.4000000000000004E-3</v>
      </c>
      <c r="BI37">
        <v>0.18129999999999999</v>
      </c>
      <c r="BJ37">
        <v>2.4199999999999999E-2</v>
      </c>
      <c r="BK37">
        <v>6.7999999999999996E-3</v>
      </c>
      <c r="BL37">
        <v>0.73150000000000004</v>
      </c>
      <c r="BM37">
        <v>1.7500000000000002E-2</v>
      </c>
      <c r="BN37">
        <v>0.21640000000000001</v>
      </c>
      <c r="BO37">
        <v>-1.66</v>
      </c>
      <c r="BP37">
        <v>1.28</v>
      </c>
      <c r="BQ37">
        <v>1.48</v>
      </c>
      <c r="BR37">
        <v>-0.75</v>
      </c>
      <c r="BS37">
        <v>21250000</v>
      </c>
      <c r="BT37">
        <v>707660.97</v>
      </c>
      <c r="BU37">
        <v>11.87</v>
      </c>
      <c r="BV37">
        <v>133015.75</v>
      </c>
      <c r="BW37">
        <v>14.86</v>
      </c>
      <c r="BZ37" s="5">
        <v>232274.82</v>
      </c>
      <c r="CA37" s="5">
        <v>7.71</v>
      </c>
      <c r="CB37" s="5">
        <v>82691.05</v>
      </c>
      <c r="CC37" s="5">
        <v>10.31</v>
      </c>
    </row>
    <row r="38" spans="1:81" x14ac:dyDescent="0.2">
      <c r="A38" s="2">
        <v>39448</v>
      </c>
      <c r="B38">
        <v>2008</v>
      </c>
      <c r="C38">
        <v>1</v>
      </c>
      <c r="E38">
        <v>7.806</v>
      </c>
      <c r="F38">
        <v>20.53</v>
      </c>
      <c r="G38">
        <v>17.559999999999999</v>
      </c>
      <c r="I38">
        <v>6.65</v>
      </c>
      <c r="J38">
        <v>5.7008000000000001</v>
      </c>
      <c r="K38">
        <v>1.0099</v>
      </c>
      <c r="L38">
        <v>1.4728000000000001</v>
      </c>
      <c r="M38">
        <v>107.8181</v>
      </c>
      <c r="N38">
        <v>7.2404999999999999</v>
      </c>
      <c r="O38">
        <v>1.4583622140000001</v>
      </c>
      <c r="P38">
        <v>106.76116450000001</v>
      </c>
      <c r="Q38">
        <v>7.169521735</v>
      </c>
      <c r="R38">
        <v>1098736</v>
      </c>
      <c r="S38">
        <v>6263649</v>
      </c>
      <c r="T38">
        <v>5618.43</v>
      </c>
      <c r="U38">
        <v>5120.05</v>
      </c>
      <c r="W38">
        <v>16875000</v>
      </c>
      <c r="X38">
        <v>26250000</v>
      </c>
      <c r="Y38">
        <v>1122.28</v>
      </c>
      <c r="Z38">
        <v>32.78</v>
      </c>
      <c r="AA38">
        <v>139.33000000000001</v>
      </c>
      <c r="AB38">
        <v>65</v>
      </c>
      <c r="AC38">
        <v>55.44</v>
      </c>
      <c r="AD38">
        <v>1414.83</v>
      </c>
      <c r="AE38">
        <v>18201237</v>
      </c>
      <c r="AF38">
        <v>627118</v>
      </c>
      <c r="AG38">
        <v>2707387</v>
      </c>
      <c r="AH38">
        <v>758750</v>
      </c>
      <c r="AI38">
        <v>1583005</v>
      </c>
      <c r="AJ38">
        <v>23877497</v>
      </c>
      <c r="AK38">
        <v>15</v>
      </c>
      <c r="AL38">
        <v>505</v>
      </c>
      <c r="AM38">
        <v>22</v>
      </c>
      <c r="AN38">
        <v>154</v>
      </c>
      <c r="AO38">
        <v>76</v>
      </c>
      <c r="AP38">
        <v>772</v>
      </c>
      <c r="AQ38">
        <v>362725</v>
      </c>
      <c r="AR38">
        <v>8621027</v>
      </c>
      <c r="AS38">
        <v>476534</v>
      </c>
      <c r="AT38">
        <v>1972673</v>
      </c>
      <c r="AU38">
        <v>1439363</v>
      </c>
      <c r="AV38">
        <v>12872322</v>
      </c>
      <c r="AW38">
        <v>7.36</v>
      </c>
      <c r="AX38">
        <v>8.68</v>
      </c>
      <c r="AY38">
        <v>8.81</v>
      </c>
      <c r="AZ38">
        <v>5.29</v>
      </c>
      <c r="BA38">
        <v>7.66</v>
      </c>
      <c r="BB38">
        <v>10.97</v>
      </c>
      <c r="BC38">
        <v>7.74</v>
      </c>
      <c r="BD38">
        <v>9.83</v>
      </c>
      <c r="BE38">
        <v>5.81</v>
      </c>
      <c r="BF38">
        <v>7.56</v>
      </c>
      <c r="BG38">
        <v>0.79320000000000002</v>
      </c>
      <c r="BH38">
        <v>2.3199999999999998E-2</v>
      </c>
      <c r="BI38">
        <v>9.8500000000000004E-2</v>
      </c>
      <c r="BJ38">
        <v>4.5900000000000003E-2</v>
      </c>
      <c r="BK38">
        <v>1.9400000000000001E-2</v>
      </c>
      <c r="BL38">
        <v>0.65410000000000001</v>
      </c>
      <c r="BM38">
        <v>2.8500000000000001E-2</v>
      </c>
      <c r="BN38">
        <v>0.19950000000000001</v>
      </c>
      <c r="BO38">
        <v>-1.47</v>
      </c>
      <c r="BP38">
        <v>1.32</v>
      </c>
      <c r="BQ38">
        <v>1.46</v>
      </c>
      <c r="BR38">
        <v>-2.06</v>
      </c>
      <c r="BS38">
        <v>16875000</v>
      </c>
      <c r="BT38">
        <v>451162.26</v>
      </c>
      <c r="BU38">
        <v>12.32</v>
      </c>
      <c r="BV38">
        <v>1872923.9</v>
      </c>
      <c r="BW38">
        <v>15.06</v>
      </c>
      <c r="BZ38" s="5">
        <v>98610.65</v>
      </c>
      <c r="CA38" s="5">
        <v>4.54</v>
      </c>
      <c r="CB38" s="5">
        <v>120418.79</v>
      </c>
      <c r="CC38" s="5">
        <v>6.94</v>
      </c>
    </row>
    <row r="39" spans="1:81" x14ac:dyDescent="0.2">
      <c r="A39" s="2">
        <v>39479</v>
      </c>
      <c r="B39">
        <v>2008</v>
      </c>
      <c r="C39">
        <v>2</v>
      </c>
      <c r="E39">
        <v>8.9499999999999993</v>
      </c>
      <c r="F39">
        <v>21.25</v>
      </c>
      <c r="G39">
        <v>18.38</v>
      </c>
      <c r="I39">
        <v>6.88</v>
      </c>
      <c r="J39">
        <v>6.8884999999999996</v>
      </c>
      <c r="K39">
        <v>0.99860000000000004</v>
      </c>
      <c r="L39">
        <v>1.4759</v>
      </c>
      <c r="M39">
        <v>107.03</v>
      </c>
      <c r="N39">
        <v>7.1643999999999997</v>
      </c>
      <c r="O39">
        <v>1.477969157</v>
      </c>
      <c r="P39">
        <v>107.1800521</v>
      </c>
      <c r="Q39">
        <v>7.174444222</v>
      </c>
      <c r="R39">
        <v>534986</v>
      </c>
      <c r="S39">
        <v>3685226</v>
      </c>
      <c r="T39">
        <v>317.07</v>
      </c>
      <c r="U39">
        <v>74.400000000000006</v>
      </c>
      <c r="W39">
        <v>11500000</v>
      </c>
      <c r="X39">
        <v>26250000</v>
      </c>
      <c r="Y39">
        <v>1739.11</v>
      </c>
      <c r="Z39">
        <v>20.329999999999998</v>
      </c>
      <c r="AA39">
        <v>212.1</v>
      </c>
      <c r="AB39">
        <v>69.06</v>
      </c>
      <c r="AC39">
        <v>63.06</v>
      </c>
      <c r="AD39">
        <v>2103.66</v>
      </c>
      <c r="AE39">
        <v>29402088</v>
      </c>
      <c r="AF39">
        <v>370651</v>
      </c>
      <c r="AG39">
        <v>4072654</v>
      </c>
      <c r="AH39">
        <v>860951</v>
      </c>
      <c r="AI39">
        <v>1595607</v>
      </c>
      <c r="AJ39">
        <v>36301951</v>
      </c>
      <c r="AK39">
        <v>10</v>
      </c>
      <c r="AL39">
        <v>510</v>
      </c>
      <c r="AM39">
        <v>21</v>
      </c>
      <c r="AN39">
        <v>19</v>
      </c>
      <c r="AO39">
        <v>59</v>
      </c>
      <c r="AP39">
        <v>619</v>
      </c>
      <c r="AQ39">
        <v>260425</v>
      </c>
      <c r="AR39">
        <v>8860162</v>
      </c>
      <c r="AS39">
        <v>484460</v>
      </c>
      <c r="AT39">
        <v>323323</v>
      </c>
      <c r="AU39">
        <v>1094837</v>
      </c>
      <c r="AV39">
        <v>11023207</v>
      </c>
      <c r="AW39">
        <v>7.67</v>
      </c>
      <c r="AX39">
        <v>8.27</v>
      </c>
      <c r="AY39">
        <v>8.7100000000000009</v>
      </c>
      <c r="AZ39">
        <v>5.65</v>
      </c>
      <c r="BA39">
        <v>7.83</v>
      </c>
      <c r="BB39">
        <v>11.81</v>
      </c>
      <c r="BC39">
        <v>7.88</v>
      </c>
      <c r="BD39">
        <v>10.46</v>
      </c>
      <c r="BE39">
        <v>7.72</v>
      </c>
      <c r="BF39">
        <v>8.08</v>
      </c>
      <c r="BG39">
        <v>0.82669999999999999</v>
      </c>
      <c r="BH39">
        <v>9.7000000000000003E-3</v>
      </c>
      <c r="BI39">
        <v>0.1008</v>
      </c>
      <c r="BJ39">
        <v>3.2800000000000003E-2</v>
      </c>
      <c r="BK39">
        <v>1.6199999999999999E-2</v>
      </c>
      <c r="BL39">
        <v>0.82389999999999997</v>
      </c>
      <c r="BM39">
        <v>3.39E-2</v>
      </c>
      <c r="BN39">
        <v>3.0700000000000002E-2</v>
      </c>
      <c r="BO39">
        <v>0.04</v>
      </c>
      <c r="BP39">
        <v>0.6</v>
      </c>
      <c r="BQ39">
        <v>1.04</v>
      </c>
      <c r="BR39">
        <v>-2.0099999999999998</v>
      </c>
      <c r="BS39">
        <v>11500000</v>
      </c>
      <c r="BT39">
        <v>220378.22</v>
      </c>
      <c r="BU39">
        <v>11.66</v>
      </c>
      <c r="BV39">
        <v>124433.16</v>
      </c>
      <c r="BW39">
        <v>13.86</v>
      </c>
      <c r="BX39">
        <v>7555.2327400000004</v>
      </c>
      <c r="BY39">
        <v>11.347367180000001</v>
      </c>
      <c r="BZ39" s="5">
        <v>12220.23</v>
      </c>
      <c r="CA39" s="5">
        <v>6.63</v>
      </c>
      <c r="CB39" s="5">
        <v>31424.720000000001</v>
      </c>
      <c r="CC39" s="5">
        <v>9.0399999999999991</v>
      </c>
    </row>
    <row r="40" spans="1:81" x14ac:dyDescent="0.2">
      <c r="A40" s="2">
        <v>39508</v>
      </c>
      <c r="B40">
        <v>2008</v>
      </c>
      <c r="C40">
        <v>3</v>
      </c>
      <c r="E40">
        <v>8.6370000000000005</v>
      </c>
      <c r="F40">
        <v>21.25</v>
      </c>
      <c r="G40">
        <v>18.5</v>
      </c>
      <c r="I40">
        <v>6.84</v>
      </c>
      <c r="J40">
        <v>7.2001999999999997</v>
      </c>
      <c r="K40">
        <v>1.0028999999999999</v>
      </c>
      <c r="L40">
        <v>1.552</v>
      </c>
      <c r="M40">
        <v>100.75620000000001</v>
      </c>
      <c r="N40">
        <v>7.0721999999999996</v>
      </c>
      <c r="O40">
        <v>1.547512215</v>
      </c>
      <c r="P40">
        <v>100.4648519</v>
      </c>
      <c r="Q40">
        <v>7.0517499250000002</v>
      </c>
      <c r="R40">
        <v>409173</v>
      </c>
      <c r="S40">
        <v>2946121</v>
      </c>
      <c r="T40">
        <v>260</v>
      </c>
      <c r="U40">
        <v>74.400000000000006</v>
      </c>
      <c r="W40">
        <v>6062500</v>
      </c>
      <c r="X40">
        <v>26250000</v>
      </c>
      <c r="Y40">
        <v>1515.87</v>
      </c>
      <c r="Z40">
        <v>35.51</v>
      </c>
      <c r="AA40">
        <v>198.8</v>
      </c>
      <c r="AB40">
        <v>78.430000000000007</v>
      </c>
      <c r="AC40">
        <v>90.78</v>
      </c>
      <c r="AD40">
        <v>1919.39</v>
      </c>
      <c r="AE40">
        <v>25594361</v>
      </c>
      <c r="AF40">
        <v>629466</v>
      </c>
      <c r="AG40">
        <v>3794475</v>
      </c>
      <c r="AH40">
        <v>1374222</v>
      </c>
      <c r="AI40">
        <v>1810810</v>
      </c>
      <c r="AJ40">
        <v>33203334</v>
      </c>
      <c r="AK40">
        <v>17</v>
      </c>
      <c r="AL40">
        <v>648</v>
      </c>
      <c r="AM40">
        <v>17</v>
      </c>
      <c r="AN40">
        <v>21</v>
      </c>
      <c r="AO40">
        <v>61</v>
      </c>
      <c r="AP40">
        <v>764</v>
      </c>
      <c r="AQ40">
        <v>455534</v>
      </c>
      <c r="AR40">
        <v>11289058</v>
      </c>
      <c r="AS40">
        <v>391846</v>
      </c>
      <c r="AT40">
        <v>315097</v>
      </c>
      <c r="AU40">
        <v>1196075</v>
      </c>
      <c r="AV40">
        <v>13647610</v>
      </c>
      <c r="AW40">
        <v>7.66</v>
      </c>
      <c r="AX40">
        <v>8.0399999999999991</v>
      </c>
      <c r="AY40">
        <v>8.66</v>
      </c>
      <c r="AZ40">
        <v>7.95</v>
      </c>
      <c r="BA40">
        <v>7.85</v>
      </c>
      <c r="BB40">
        <v>12.15</v>
      </c>
      <c r="BC40">
        <v>7.9</v>
      </c>
      <c r="BD40">
        <v>10.46</v>
      </c>
      <c r="BE40">
        <v>6.81</v>
      </c>
      <c r="BF40">
        <v>8.1</v>
      </c>
      <c r="BG40">
        <v>0.78979999999999995</v>
      </c>
      <c r="BH40">
        <v>1.8499999999999999E-2</v>
      </c>
      <c r="BI40">
        <v>0.1036</v>
      </c>
      <c r="BJ40">
        <v>4.0899999999999999E-2</v>
      </c>
      <c r="BK40">
        <v>2.23E-2</v>
      </c>
      <c r="BL40">
        <v>0.84819999999999995</v>
      </c>
      <c r="BM40">
        <v>2.23E-2</v>
      </c>
      <c r="BN40">
        <v>2.75E-2</v>
      </c>
      <c r="BO40">
        <v>-0.83</v>
      </c>
      <c r="BP40">
        <v>0.38</v>
      </c>
      <c r="BQ40">
        <v>1</v>
      </c>
      <c r="BR40">
        <v>0.28999999999999998</v>
      </c>
      <c r="BS40">
        <v>6062500</v>
      </c>
      <c r="BT40">
        <v>129750.71</v>
      </c>
      <c r="BU40">
        <v>10.68</v>
      </c>
      <c r="BV40">
        <v>91515.98</v>
      </c>
      <c r="BW40">
        <v>15.47</v>
      </c>
      <c r="BZ40" s="5">
        <v>14263.92</v>
      </c>
      <c r="CA40" s="5">
        <v>16.28</v>
      </c>
      <c r="CB40" s="5">
        <v>7674.3</v>
      </c>
      <c r="CC40" s="5">
        <v>7.56</v>
      </c>
    </row>
    <row r="41" spans="1:81" x14ac:dyDescent="0.2">
      <c r="A41" s="2">
        <v>39539</v>
      </c>
      <c r="B41">
        <v>2008</v>
      </c>
      <c r="C41">
        <v>4</v>
      </c>
      <c r="E41">
        <v>6.8330000000000002</v>
      </c>
      <c r="F41">
        <v>21.25</v>
      </c>
      <c r="G41">
        <v>18.5</v>
      </c>
      <c r="I41">
        <v>5.17</v>
      </c>
      <c r="J41">
        <v>5.3937999999999997</v>
      </c>
      <c r="K41">
        <v>1.0137</v>
      </c>
      <c r="L41">
        <v>1.5753999999999999</v>
      </c>
      <c r="M41">
        <v>102.6777</v>
      </c>
      <c r="N41">
        <v>6.9996999999999998</v>
      </c>
      <c r="O41">
        <v>1.554108711</v>
      </c>
      <c r="P41">
        <v>101.2900266</v>
      </c>
      <c r="Q41">
        <v>6.9051001279999999</v>
      </c>
      <c r="R41">
        <v>956907</v>
      </c>
      <c r="S41">
        <v>5161347</v>
      </c>
      <c r="T41">
        <v>1810.35</v>
      </c>
      <c r="U41">
        <v>1376.3</v>
      </c>
      <c r="W41">
        <v>2593750</v>
      </c>
      <c r="X41">
        <v>26250000</v>
      </c>
      <c r="Y41">
        <v>1518.52</v>
      </c>
      <c r="Z41">
        <v>21.6</v>
      </c>
      <c r="AA41">
        <v>230.03</v>
      </c>
      <c r="AB41">
        <v>61.39</v>
      </c>
      <c r="AC41">
        <v>70.260000000000005</v>
      </c>
      <c r="AD41">
        <v>1901.8</v>
      </c>
      <c r="AE41">
        <v>21326668</v>
      </c>
      <c r="AF41">
        <v>389066</v>
      </c>
      <c r="AG41">
        <v>3958946</v>
      </c>
      <c r="AH41">
        <v>954252</v>
      </c>
      <c r="AI41">
        <v>1404898</v>
      </c>
      <c r="AJ41">
        <v>28033830</v>
      </c>
      <c r="AK41">
        <v>1</v>
      </c>
      <c r="AL41">
        <v>653</v>
      </c>
      <c r="AM41">
        <v>24</v>
      </c>
      <c r="AN41">
        <v>27</v>
      </c>
      <c r="AO41">
        <v>52</v>
      </c>
      <c r="AP41">
        <v>757</v>
      </c>
      <c r="AQ41">
        <v>18042</v>
      </c>
      <c r="AR41">
        <v>11232686</v>
      </c>
      <c r="AS41">
        <v>476929</v>
      </c>
      <c r="AT41">
        <v>356439</v>
      </c>
      <c r="AU41">
        <v>918405</v>
      </c>
      <c r="AV41">
        <v>13002501</v>
      </c>
      <c r="AW41">
        <v>6.37</v>
      </c>
      <c r="AX41">
        <v>8.17</v>
      </c>
      <c r="AY41">
        <v>7.81</v>
      </c>
      <c r="AZ41">
        <v>7.05</v>
      </c>
      <c r="BA41">
        <v>6.69</v>
      </c>
      <c r="BB41">
        <v>8.18</v>
      </c>
      <c r="BC41">
        <v>7.8</v>
      </c>
      <c r="BD41">
        <v>9.01</v>
      </c>
      <c r="BE41">
        <v>5.99</v>
      </c>
      <c r="BF41">
        <v>7.79</v>
      </c>
      <c r="BG41">
        <v>0.79849999999999999</v>
      </c>
      <c r="BH41">
        <v>1.14E-2</v>
      </c>
      <c r="BI41">
        <v>0.121</v>
      </c>
      <c r="BJ41">
        <v>3.2300000000000002E-2</v>
      </c>
      <c r="BK41">
        <v>1.2999999999999999E-3</v>
      </c>
      <c r="BL41">
        <v>0.86260000000000003</v>
      </c>
      <c r="BM41">
        <v>3.1699999999999999E-2</v>
      </c>
      <c r="BN41">
        <v>3.5700000000000003E-2</v>
      </c>
      <c r="BO41">
        <v>-0.3</v>
      </c>
      <c r="BP41">
        <v>1.8</v>
      </c>
      <c r="BQ41">
        <v>1.44</v>
      </c>
      <c r="BR41">
        <v>0.68</v>
      </c>
      <c r="BS41">
        <v>2593750</v>
      </c>
      <c r="BT41">
        <v>333684.67</v>
      </c>
      <c r="BU41">
        <v>11.15</v>
      </c>
      <c r="BV41">
        <v>2451704.9900000002</v>
      </c>
      <c r="BW41">
        <v>14.92</v>
      </c>
      <c r="BZ41" s="5">
        <v>41945.18</v>
      </c>
      <c r="CA41" s="5">
        <v>8.84</v>
      </c>
      <c r="CB41" s="5">
        <v>0</v>
      </c>
      <c r="CC41" s="5">
        <v>0</v>
      </c>
    </row>
    <row r="42" spans="1:81" x14ac:dyDescent="0.2">
      <c r="A42" s="2">
        <v>39569</v>
      </c>
      <c r="B42">
        <v>2008</v>
      </c>
      <c r="C42">
        <v>5</v>
      </c>
      <c r="E42">
        <v>6.556</v>
      </c>
      <c r="G42">
        <v>18.22</v>
      </c>
      <c r="H42">
        <v>4.03</v>
      </c>
      <c r="I42">
        <v>4.66</v>
      </c>
      <c r="J42">
        <v>5.1668000000000003</v>
      </c>
      <c r="K42">
        <v>0.99929999999999997</v>
      </c>
      <c r="L42">
        <v>1.5553999999999999</v>
      </c>
      <c r="M42">
        <v>104.3595</v>
      </c>
      <c r="N42">
        <v>6.9725000000000001</v>
      </c>
      <c r="O42">
        <v>1.5564895430000001</v>
      </c>
      <c r="P42">
        <v>104.4326028</v>
      </c>
      <c r="Q42">
        <v>6.9773841689999996</v>
      </c>
      <c r="R42">
        <v>2253509</v>
      </c>
      <c r="S42">
        <v>11643458</v>
      </c>
      <c r="T42">
        <v>18507.53</v>
      </c>
      <c r="U42">
        <v>17485.349999999999</v>
      </c>
      <c r="W42">
        <v>4516667.5</v>
      </c>
      <c r="X42">
        <v>26250000</v>
      </c>
      <c r="Y42">
        <v>2704.31</v>
      </c>
      <c r="Z42">
        <v>23.81</v>
      </c>
      <c r="AA42">
        <v>281.52</v>
      </c>
      <c r="AB42">
        <v>59.78</v>
      </c>
      <c r="AC42">
        <v>69.14</v>
      </c>
      <c r="AD42">
        <v>3138.56</v>
      </c>
      <c r="AE42">
        <v>35763414</v>
      </c>
      <c r="AF42">
        <v>427249</v>
      </c>
      <c r="AG42">
        <v>4695572</v>
      </c>
      <c r="AH42">
        <v>851178</v>
      </c>
      <c r="AI42">
        <v>1377402</v>
      </c>
      <c r="AJ42">
        <v>43114815</v>
      </c>
      <c r="AK42">
        <v>1</v>
      </c>
      <c r="AL42">
        <v>745</v>
      </c>
      <c r="AM42">
        <v>16</v>
      </c>
      <c r="AN42">
        <v>87</v>
      </c>
      <c r="AO42">
        <v>52</v>
      </c>
      <c r="AP42">
        <v>901</v>
      </c>
      <c r="AQ42">
        <v>19640</v>
      </c>
      <c r="AR42">
        <v>12637634</v>
      </c>
      <c r="AS42">
        <v>298662</v>
      </c>
      <c r="AT42">
        <v>1075104</v>
      </c>
      <c r="AU42">
        <v>893953</v>
      </c>
      <c r="AV42">
        <v>14924993</v>
      </c>
      <c r="AW42">
        <v>6</v>
      </c>
      <c r="AX42">
        <v>8.14</v>
      </c>
      <c r="AY42">
        <v>7.57</v>
      </c>
      <c r="AZ42">
        <v>6.46</v>
      </c>
      <c r="BA42">
        <v>6.23</v>
      </c>
      <c r="BB42">
        <v>8.91</v>
      </c>
      <c r="BC42">
        <v>7.69</v>
      </c>
      <c r="BD42">
        <v>8.4700000000000006</v>
      </c>
      <c r="BE42">
        <v>5.61</v>
      </c>
      <c r="BF42">
        <v>7.51</v>
      </c>
      <c r="BG42">
        <v>0.86160000000000003</v>
      </c>
      <c r="BH42">
        <v>7.6E-3</v>
      </c>
      <c r="BI42">
        <v>8.9700000000000002E-2</v>
      </c>
      <c r="BJ42">
        <v>1.9E-2</v>
      </c>
      <c r="BK42">
        <v>1.1000000000000001E-3</v>
      </c>
      <c r="BL42">
        <v>0.82689999999999997</v>
      </c>
      <c r="BM42">
        <v>1.78E-2</v>
      </c>
      <c r="BN42">
        <v>9.6600000000000005E-2</v>
      </c>
      <c r="BO42">
        <v>-0.4</v>
      </c>
      <c r="BP42">
        <v>2.14</v>
      </c>
      <c r="BQ42">
        <v>1.57</v>
      </c>
      <c r="BR42">
        <v>0.46</v>
      </c>
      <c r="BS42">
        <v>4516667.5</v>
      </c>
      <c r="BT42">
        <v>1706832.24</v>
      </c>
      <c r="BU42">
        <v>12.09</v>
      </c>
      <c r="BV42">
        <v>1059813.75</v>
      </c>
      <c r="BW42">
        <v>14.19</v>
      </c>
      <c r="BZ42" s="5">
        <v>93447.42</v>
      </c>
      <c r="CA42" s="5">
        <v>10.3</v>
      </c>
      <c r="CB42" s="5">
        <v>140610.95000000001</v>
      </c>
      <c r="CC42" s="5">
        <v>8.14</v>
      </c>
    </row>
    <row r="43" spans="1:81" x14ac:dyDescent="0.2">
      <c r="A43" s="2">
        <v>39600</v>
      </c>
      <c r="B43">
        <v>2008</v>
      </c>
      <c r="C43">
        <v>6</v>
      </c>
      <c r="E43">
        <v>6.3440000000000003</v>
      </c>
      <c r="F43">
        <v>19.5</v>
      </c>
      <c r="G43">
        <v>18</v>
      </c>
      <c r="H43">
        <v>4</v>
      </c>
      <c r="I43">
        <v>4.6100000000000003</v>
      </c>
      <c r="J43">
        <v>5.0048000000000004</v>
      </c>
      <c r="K43">
        <v>1.0165999999999999</v>
      </c>
      <c r="L43">
        <v>1.5562</v>
      </c>
      <c r="M43">
        <v>106.9152</v>
      </c>
      <c r="N43">
        <v>6.8993000000000002</v>
      </c>
      <c r="O43">
        <v>1.530788904</v>
      </c>
      <c r="P43">
        <v>105.1693882</v>
      </c>
      <c r="Q43">
        <v>6.786641747</v>
      </c>
      <c r="R43">
        <v>2236889</v>
      </c>
      <c r="S43">
        <v>11195230</v>
      </c>
      <c r="T43">
        <v>11929.89</v>
      </c>
      <c r="U43">
        <v>10915.25</v>
      </c>
      <c r="W43">
        <v>19718750</v>
      </c>
      <c r="X43">
        <v>26250000</v>
      </c>
      <c r="Y43">
        <v>2688.22</v>
      </c>
      <c r="Z43">
        <v>31.97</v>
      </c>
      <c r="AA43">
        <v>318.14</v>
      </c>
      <c r="AB43">
        <v>46.84</v>
      </c>
      <c r="AC43">
        <v>56.95</v>
      </c>
      <c r="AD43">
        <v>3142.12</v>
      </c>
      <c r="AE43">
        <v>35521775</v>
      </c>
      <c r="AF43">
        <v>463003</v>
      </c>
      <c r="AG43">
        <v>5224058</v>
      </c>
      <c r="AH43">
        <v>660644</v>
      </c>
      <c r="AI43">
        <v>1114057</v>
      </c>
      <c r="AJ43">
        <v>42983537</v>
      </c>
      <c r="AK43">
        <v>2</v>
      </c>
      <c r="AL43">
        <v>739</v>
      </c>
      <c r="AM43">
        <v>26</v>
      </c>
      <c r="AN43">
        <v>62</v>
      </c>
      <c r="AO43">
        <v>44</v>
      </c>
      <c r="AP43">
        <v>873</v>
      </c>
      <c r="AQ43">
        <v>38404</v>
      </c>
      <c r="AR43">
        <v>12223173</v>
      </c>
      <c r="AS43">
        <v>500140</v>
      </c>
      <c r="AT43">
        <v>785629</v>
      </c>
      <c r="AU43">
        <v>772805</v>
      </c>
      <c r="AV43">
        <v>14320151</v>
      </c>
      <c r="AW43">
        <v>5.99</v>
      </c>
      <c r="AX43">
        <v>6.57</v>
      </c>
      <c r="AY43">
        <v>7.45</v>
      </c>
      <c r="AZ43">
        <v>6.4</v>
      </c>
      <c r="BA43">
        <v>6.21</v>
      </c>
      <c r="BB43">
        <v>8.7100000000000009</v>
      </c>
      <c r="BC43">
        <v>7.5</v>
      </c>
      <c r="BD43">
        <v>8.73</v>
      </c>
      <c r="BE43">
        <v>5.75</v>
      </c>
      <c r="BF43">
        <v>7.44</v>
      </c>
      <c r="BG43">
        <v>0.85550000000000004</v>
      </c>
      <c r="BH43">
        <v>1.0200000000000001E-2</v>
      </c>
      <c r="BI43">
        <v>0.1013</v>
      </c>
      <c r="BJ43">
        <v>1.49E-2</v>
      </c>
      <c r="BK43">
        <v>2.3E-3</v>
      </c>
      <c r="BL43">
        <v>0.84650000000000003</v>
      </c>
      <c r="BM43">
        <v>2.98E-2</v>
      </c>
      <c r="BN43">
        <v>7.0999999999999994E-2</v>
      </c>
      <c r="BO43">
        <v>-0.15</v>
      </c>
      <c r="BP43">
        <v>0.57999999999999996</v>
      </c>
      <c r="BQ43">
        <v>1.45</v>
      </c>
      <c r="BR43">
        <v>0.4</v>
      </c>
      <c r="BS43">
        <v>19718750</v>
      </c>
      <c r="BT43">
        <v>2571272.56</v>
      </c>
      <c r="BU43">
        <v>11.8</v>
      </c>
      <c r="BV43">
        <v>260773.48</v>
      </c>
      <c r="BW43">
        <v>12.15</v>
      </c>
      <c r="BZ43" s="5">
        <v>265053.18</v>
      </c>
      <c r="CA43" s="5">
        <v>7.2</v>
      </c>
      <c r="CB43" s="5">
        <v>788384.72</v>
      </c>
      <c r="CC43" s="5">
        <v>8.39</v>
      </c>
    </row>
    <row r="44" spans="1:81" x14ac:dyDescent="0.2">
      <c r="A44" s="2">
        <v>39630</v>
      </c>
      <c r="B44">
        <v>2008</v>
      </c>
      <c r="C44">
        <v>7</v>
      </c>
      <c r="E44">
        <v>7.08</v>
      </c>
      <c r="F44">
        <v>19.5</v>
      </c>
      <c r="G44">
        <v>18</v>
      </c>
      <c r="H44">
        <v>4</v>
      </c>
      <c r="I44">
        <v>5.15</v>
      </c>
      <c r="J44">
        <v>3.9695999999999998</v>
      </c>
      <c r="K44">
        <v>1.0129999999999999</v>
      </c>
      <c r="L44">
        <v>1.5759000000000001</v>
      </c>
      <c r="M44">
        <v>106.8518</v>
      </c>
      <c r="N44">
        <v>6.8354999999999997</v>
      </c>
      <c r="O44">
        <v>1.555676209</v>
      </c>
      <c r="P44">
        <v>105.4805528</v>
      </c>
      <c r="Q44">
        <v>6.7477788749999998</v>
      </c>
      <c r="R44">
        <v>9404003</v>
      </c>
      <c r="S44">
        <v>37330116</v>
      </c>
      <c r="T44">
        <v>5476.99</v>
      </c>
      <c r="U44">
        <v>1211.4000000000001</v>
      </c>
      <c r="W44">
        <v>25625000</v>
      </c>
      <c r="X44">
        <v>26250000</v>
      </c>
      <c r="Y44">
        <v>1813.96</v>
      </c>
      <c r="Z44">
        <v>28.96</v>
      </c>
      <c r="AA44">
        <v>258.57</v>
      </c>
      <c r="AB44">
        <v>57.9</v>
      </c>
      <c r="AC44">
        <v>62.41</v>
      </c>
      <c r="AD44">
        <v>2221.8000000000002</v>
      </c>
      <c r="AE44">
        <v>26401240</v>
      </c>
      <c r="AF44">
        <v>523925</v>
      </c>
      <c r="AG44">
        <v>4494359</v>
      </c>
      <c r="AH44">
        <v>813859</v>
      </c>
      <c r="AI44">
        <v>1248867</v>
      </c>
      <c r="AJ44">
        <v>33482250</v>
      </c>
      <c r="AK44">
        <v>4</v>
      </c>
      <c r="AL44">
        <v>875</v>
      </c>
      <c r="AM44">
        <v>20</v>
      </c>
      <c r="AN44">
        <v>1408</v>
      </c>
      <c r="AO44">
        <v>44</v>
      </c>
      <c r="AP44">
        <v>2351</v>
      </c>
      <c r="AQ44">
        <v>67648</v>
      </c>
      <c r="AR44">
        <v>14614340</v>
      </c>
      <c r="AS44">
        <v>403970</v>
      </c>
      <c r="AT44">
        <v>13764998</v>
      </c>
      <c r="AU44">
        <v>789378</v>
      </c>
      <c r="AV44">
        <v>29640334</v>
      </c>
      <c r="AW44">
        <v>6.6</v>
      </c>
      <c r="AX44">
        <v>8.2100000000000009</v>
      </c>
      <c r="AY44">
        <v>7.88</v>
      </c>
      <c r="AZ44">
        <v>6.38</v>
      </c>
      <c r="BA44">
        <v>6.84</v>
      </c>
      <c r="BB44">
        <v>7.67</v>
      </c>
      <c r="BC44">
        <v>7.58</v>
      </c>
      <c r="BD44">
        <v>9.16</v>
      </c>
      <c r="BE44">
        <v>4.43</v>
      </c>
      <c r="BF44">
        <v>5.72</v>
      </c>
      <c r="BG44">
        <v>0.81640000000000001</v>
      </c>
      <c r="BH44">
        <v>1.2999999999999999E-2</v>
      </c>
      <c r="BI44">
        <v>0.1164</v>
      </c>
      <c r="BJ44">
        <v>2.6100000000000002E-2</v>
      </c>
      <c r="BK44">
        <v>1.6999999999999999E-3</v>
      </c>
      <c r="BL44">
        <v>0.37219999999999998</v>
      </c>
      <c r="BM44">
        <v>8.5000000000000006E-3</v>
      </c>
      <c r="BN44">
        <v>0.59889999999999999</v>
      </c>
      <c r="BO44">
        <v>-2.08</v>
      </c>
      <c r="BP44">
        <v>1.61</v>
      </c>
      <c r="BQ44">
        <v>1.28</v>
      </c>
      <c r="BR44">
        <v>-0.23</v>
      </c>
      <c r="BS44">
        <v>25625000</v>
      </c>
      <c r="BT44">
        <v>1301400.4099999999</v>
      </c>
      <c r="BU44">
        <v>12.22</v>
      </c>
      <c r="BV44">
        <v>297361.34999999998</v>
      </c>
      <c r="BW44">
        <v>8.31</v>
      </c>
      <c r="BZ44" s="5">
        <v>263884.71999999997</v>
      </c>
      <c r="CA44" s="5">
        <v>8.65</v>
      </c>
      <c r="CB44" s="5">
        <v>596156.9</v>
      </c>
      <c r="CC44" s="5">
        <v>7.42</v>
      </c>
    </row>
    <row r="45" spans="1:81" x14ac:dyDescent="0.2">
      <c r="A45" s="2">
        <v>39661</v>
      </c>
      <c r="B45">
        <v>2008</v>
      </c>
      <c r="C45">
        <v>8</v>
      </c>
      <c r="E45">
        <v>5.2629999999999999</v>
      </c>
      <c r="F45">
        <v>19.28</v>
      </c>
      <c r="G45">
        <v>18</v>
      </c>
      <c r="H45">
        <v>3.88</v>
      </c>
      <c r="I45">
        <v>4.38</v>
      </c>
      <c r="J45">
        <v>3.6446000000000001</v>
      </c>
      <c r="K45">
        <v>1.0535000000000001</v>
      </c>
      <c r="L45">
        <v>1.4955000000000001</v>
      </c>
      <c r="M45">
        <v>109.36239999999999</v>
      </c>
      <c r="N45">
        <v>6.8461999999999996</v>
      </c>
      <c r="O45">
        <v>1.4195538679999999</v>
      </c>
      <c r="P45">
        <v>103.80863789999999</v>
      </c>
      <c r="Q45">
        <v>6.4985287139999999</v>
      </c>
      <c r="R45">
        <v>14661596</v>
      </c>
      <c r="S45">
        <v>53434921</v>
      </c>
      <c r="T45">
        <v>6983.6</v>
      </c>
      <c r="U45">
        <v>333.2</v>
      </c>
      <c r="W45">
        <v>14667808.5</v>
      </c>
      <c r="X45">
        <v>26250000</v>
      </c>
      <c r="Y45">
        <v>928.8</v>
      </c>
      <c r="Z45">
        <v>25.78</v>
      </c>
      <c r="AA45">
        <v>283.69</v>
      </c>
      <c r="AB45">
        <v>87.3</v>
      </c>
      <c r="AC45">
        <v>68.83</v>
      </c>
      <c r="AD45">
        <v>1394.4</v>
      </c>
      <c r="AE45">
        <v>15304203</v>
      </c>
      <c r="AF45">
        <v>472258</v>
      </c>
      <c r="AG45">
        <v>4914406</v>
      </c>
      <c r="AH45">
        <v>887854</v>
      </c>
      <c r="AI45">
        <v>1522448</v>
      </c>
      <c r="AJ45">
        <v>23101169</v>
      </c>
      <c r="AK45">
        <v>3</v>
      </c>
      <c r="AL45">
        <v>837</v>
      </c>
      <c r="AM45">
        <v>11</v>
      </c>
      <c r="AN45">
        <v>3684</v>
      </c>
      <c r="AO45">
        <v>45</v>
      </c>
      <c r="AP45">
        <v>4580</v>
      </c>
      <c r="AQ45">
        <v>52341</v>
      </c>
      <c r="AR45">
        <v>14227596</v>
      </c>
      <c r="AS45">
        <v>223534</v>
      </c>
      <c r="AT45">
        <v>34938851</v>
      </c>
      <c r="AU45">
        <v>763007</v>
      </c>
      <c r="AV45">
        <v>50205329</v>
      </c>
      <c r="AW45">
        <v>7.47</v>
      </c>
      <c r="AX45">
        <v>8.31</v>
      </c>
      <c r="AY45">
        <v>7.86</v>
      </c>
      <c r="AZ45">
        <v>4.6100000000000003</v>
      </c>
      <c r="BA45">
        <v>7.51</v>
      </c>
      <c r="BB45">
        <v>7.91</v>
      </c>
      <c r="BC45">
        <v>7.71</v>
      </c>
      <c r="BD45">
        <v>9.2200000000000006</v>
      </c>
      <c r="BE45">
        <v>4.3</v>
      </c>
      <c r="BF45">
        <v>4.97</v>
      </c>
      <c r="BG45">
        <v>0.66610000000000003</v>
      </c>
      <c r="BH45">
        <v>1.8499999999999999E-2</v>
      </c>
      <c r="BI45">
        <v>0.2034</v>
      </c>
      <c r="BJ45">
        <v>6.2600000000000003E-2</v>
      </c>
      <c r="BK45">
        <v>6.9999999999999999E-4</v>
      </c>
      <c r="BL45">
        <v>0.18279999999999999</v>
      </c>
      <c r="BM45">
        <v>2.3999999999999998E-3</v>
      </c>
      <c r="BN45">
        <v>0.8044</v>
      </c>
      <c r="BO45">
        <v>-2.79</v>
      </c>
      <c r="BP45">
        <v>0.84</v>
      </c>
      <c r="BQ45">
        <v>0.38</v>
      </c>
      <c r="BR45">
        <v>-2.86</v>
      </c>
      <c r="BS45">
        <v>14667808.5</v>
      </c>
      <c r="BT45">
        <v>1095618.98</v>
      </c>
      <c r="BU45">
        <v>12.77</v>
      </c>
      <c r="BV45">
        <v>145888.51999999999</v>
      </c>
      <c r="BW45">
        <v>8.3699999999999992</v>
      </c>
      <c r="BZ45" s="5">
        <v>231130.62</v>
      </c>
      <c r="CA45" s="5">
        <v>8.85</v>
      </c>
      <c r="CB45" s="5">
        <v>753648.65</v>
      </c>
      <c r="CC45" s="5">
        <v>7.73</v>
      </c>
    </row>
    <row r="46" spans="1:81" x14ac:dyDescent="0.2">
      <c r="A46" s="2">
        <v>39692</v>
      </c>
      <c r="B46">
        <v>2008</v>
      </c>
      <c r="C46">
        <v>9</v>
      </c>
      <c r="E46">
        <v>5.1109999999999998</v>
      </c>
      <c r="F46">
        <v>18.100000000000001</v>
      </c>
      <c r="G46">
        <v>17.940000000000001</v>
      </c>
      <c r="H46">
        <v>3.95</v>
      </c>
      <c r="I46">
        <v>4.4800000000000004</v>
      </c>
      <c r="J46">
        <v>3.5078</v>
      </c>
      <c r="K46">
        <v>1.0582</v>
      </c>
      <c r="L46">
        <v>1.4341999999999999</v>
      </c>
      <c r="M46">
        <v>106.5748</v>
      </c>
      <c r="N46">
        <v>6.8307000000000002</v>
      </c>
      <c r="O46">
        <v>1.3553203549999999</v>
      </c>
      <c r="P46">
        <v>100.7132867</v>
      </c>
      <c r="Q46">
        <v>6.4550179549999998</v>
      </c>
      <c r="R46">
        <v>14340012</v>
      </c>
      <c r="S46">
        <v>50302474</v>
      </c>
      <c r="T46">
        <v>6837.73</v>
      </c>
      <c r="U46">
        <v>333.2</v>
      </c>
      <c r="W46">
        <v>7917186.7999999998</v>
      </c>
      <c r="X46">
        <v>26250000</v>
      </c>
      <c r="Y46">
        <v>270.89999999999998</v>
      </c>
      <c r="Z46">
        <v>37.56</v>
      </c>
      <c r="AA46">
        <v>195.78</v>
      </c>
      <c r="AB46">
        <v>48.78</v>
      </c>
      <c r="AC46">
        <v>53.68</v>
      </c>
      <c r="AD46">
        <v>606.70000000000005</v>
      </c>
      <c r="AE46">
        <v>5196765</v>
      </c>
      <c r="AF46">
        <v>722734</v>
      </c>
      <c r="AG46">
        <v>3549351</v>
      </c>
      <c r="AH46">
        <v>668176</v>
      </c>
      <c r="AI46">
        <v>1044385</v>
      </c>
      <c r="AJ46">
        <v>11181411</v>
      </c>
      <c r="AK46">
        <v>9</v>
      </c>
      <c r="AL46">
        <v>868</v>
      </c>
      <c r="AM46">
        <v>22</v>
      </c>
      <c r="AN46">
        <v>3796</v>
      </c>
      <c r="AO46">
        <v>63</v>
      </c>
      <c r="AP46">
        <v>4758</v>
      </c>
      <c r="AQ46">
        <v>131371</v>
      </c>
      <c r="AR46">
        <v>14388043</v>
      </c>
      <c r="AS46">
        <v>412275</v>
      </c>
      <c r="AT46">
        <v>35898827</v>
      </c>
      <c r="AU46">
        <v>1035823</v>
      </c>
      <c r="AV46">
        <v>51866339</v>
      </c>
      <c r="AW46">
        <v>8.6999999999999993</v>
      </c>
      <c r="AX46">
        <v>8.73</v>
      </c>
      <c r="AY46">
        <v>8.2200000000000006</v>
      </c>
      <c r="AZ46">
        <v>6.21</v>
      </c>
      <c r="BA46">
        <v>8.36</v>
      </c>
      <c r="BB46">
        <v>6.62</v>
      </c>
      <c r="BC46">
        <v>7.52</v>
      </c>
      <c r="BD46">
        <v>8.5</v>
      </c>
      <c r="BE46">
        <v>4.29</v>
      </c>
      <c r="BF46">
        <v>4.9400000000000004</v>
      </c>
      <c r="BG46">
        <v>0.44650000000000001</v>
      </c>
      <c r="BH46">
        <v>6.1899999999999997E-2</v>
      </c>
      <c r="BI46">
        <v>0.32269999999999999</v>
      </c>
      <c r="BJ46">
        <v>8.0399999999999999E-2</v>
      </c>
      <c r="BK46">
        <v>1.9E-3</v>
      </c>
      <c r="BL46">
        <v>0.18240000000000001</v>
      </c>
      <c r="BM46">
        <v>4.5999999999999999E-3</v>
      </c>
      <c r="BN46">
        <v>0.79779999999999995</v>
      </c>
      <c r="BO46">
        <v>-3.93</v>
      </c>
      <c r="BP46">
        <v>0.03</v>
      </c>
      <c r="BQ46">
        <v>-0.48</v>
      </c>
      <c r="BR46">
        <v>-2.4900000000000002</v>
      </c>
      <c r="BS46">
        <v>7917186.7999999998</v>
      </c>
      <c r="BT46">
        <v>1053316.73</v>
      </c>
      <c r="BU46">
        <v>14.61</v>
      </c>
      <c r="BV46">
        <v>1560930.49</v>
      </c>
      <c r="BW46">
        <v>14.05</v>
      </c>
      <c r="BX46">
        <v>3302.5207599999999</v>
      </c>
      <c r="BY46">
        <v>6.9477231689999996</v>
      </c>
      <c r="BZ46" s="5">
        <v>231185.74</v>
      </c>
      <c r="CA46" s="5">
        <v>6.91</v>
      </c>
      <c r="CB46" s="5">
        <v>459485.62</v>
      </c>
      <c r="CC46" s="5">
        <v>6.88</v>
      </c>
    </row>
    <row r="47" spans="1:81" x14ac:dyDescent="0.2">
      <c r="A47" s="2">
        <v>39722</v>
      </c>
      <c r="B47">
        <v>2008</v>
      </c>
      <c r="C47">
        <v>10</v>
      </c>
      <c r="E47">
        <v>3.9609999999999999</v>
      </c>
      <c r="F47">
        <v>16.809999999999999</v>
      </c>
      <c r="G47">
        <v>17.329999999999998</v>
      </c>
      <c r="H47">
        <v>4</v>
      </c>
      <c r="I47">
        <v>4.1900000000000004</v>
      </c>
      <c r="J47">
        <v>2.7054</v>
      </c>
      <c r="K47">
        <v>1.1847000000000001</v>
      </c>
      <c r="L47">
        <v>1.3266</v>
      </c>
      <c r="M47">
        <v>99.965900000000005</v>
      </c>
      <c r="N47">
        <v>6.8357999999999999</v>
      </c>
      <c r="O47">
        <v>1.1197771590000001</v>
      </c>
      <c r="P47">
        <v>84.380771499999994</v>
      </c>
      <c r="Q47">
        <v>5.7700683719999999</v>
      </c>
      <c r="R47">
        <v>13395581</v>
      </c>
      <c r="S47">
        <v>36240533</v>
      </c>
      <c r="T47">
        <v>6706.94</v>
      </c>
      <c r="U47">
        <v>630.79999999999995</v>
      </c>
      <c r="W47">
        <v>3400000</v>
      </c>
      <c r="X47">
        <v>26250000</v>
      </c>
      <c r="Y47">
        <v>329.67</v>
      </c>
      <c r="Z47">
        <v>31.38</v>
      </c>
      <c r="AA47">
        <v>152.84</v>
      </c>
      <c r="AB47">
        <v>35.89</v>
      </c>
      <c r="AC47">
        <v>62.95</v>
      </c>
      <c r="AD47">
        <v>612.73</v>
      </c>
      <c r="AE47">
        <v>4882818</v>
      </c>
      <c r="AF47">
        <v>599340</v>
      </c>
      <c r="AG47">
        <v>2488619</v>
      </c>
      <c r="AH47">
        <v>1042461</v>
      </c>
      <c r="AI47">
        <v>931289</v>
      </c>
      <c r="AJ47">
        <v>9944527</v>
      </c>
      <c r="AK47">
        <v>66</v>
      </c>
      <c r="AL47">
        <v>944</v>
      </c>
      <c r="AM47">
        <v>48</v>
      </c>
      <c r="AN47">
        <v>2354</v>
      </c>
      <c r="AO47">
        <v>68</v>
      </c>
      <c r="AP47">
        <v>3480</v>
      </c>
      <c r="AQ47">
        <v>1638336</v>
      </c>
      <c r="AR47">
        <v>15783824</v>
      </c>
      <c r="AS47">
        <v>799299</v>
      </c>
      <c r="AT47">
        <v>23384302</v>
      </c>
      <c r="AU47">
        <v>1349738</v>
      </c>
      <c r="AV47">
        <v>42955499</v>
      </c>
      <c r="AW47">
        <v>6.72</v>
      </c>
      <c r="AX47">
        <v>8.66</v>
      </c>
      <c r="AY47">
        <v>7.39</v>
      </c>
      <c r="AZ47">
        <v>13.18</v>
      </c>
      <c r="BA47">
        <v>7.36</v>
      </c>
      <c r="BB47">
        <v>11.26</v>
      </c>
      <c r="BC47">
        <v>7.58</v>
      </c>
      <c r="BD47">
        <v>7.55</v>
      </c>
      <c r="BE47">
        <v>4.51</v>
      </c>
      <c r="BF47">
        <v>5.6</v>
      </c>
      <c r="BG47">
        <v>0.53800000000000003</v>
      </c>
      <c r="BH47">
        <v>5.1200000000000002E-2</v>
      </c>
      <c r="BI47">
        <v>0.24940000000000001</v>
      </c>
      <c r="BJ47">
        <v>5.8599999999999999E-2</v>
      </c>
      <c r="BK47">
        <v>1.9E-2</v>
      </c>
      <c r="BL47">
        <v>0.27129999999999999</v>
      </c>
      <c r="BM47">
        <v>1.38E-2</v>
      </c>
      <c r="BN47">
        <v>0.6764</v>
      </c>
      <c r="BO47">
        <v>-1.1599999999999999</v>
      </c>
      <c r="BP47">
        <v>1.94</v>
      </c>
      <c r="BQ47">
        <v>0.67</v>
      </c>
      <c r="BR47">
        <v>6.46</v>
      </c>
      <c r="BS47">
        <v>3400000</v>
      </c>
      <c r="BT47">
        <v>1104885</v>
      </c>
      <c r="BU47">
        <v>10.93</v>
      </c>
      <c r="BV47">
        <v>15348.56</v>
      </c>
      <c r="BW47">
        <v>3.83</v>
      </c>
      <c r="BZ47" s="5">
        <v>472541.4</v>
      </c>
      <c r="CA47" s="5">
        <v>8.56</v>
      </c>
      <c r="CB47" s="5">
        <v>293140.09000000003</v>
      </c>
      <c r="CC47" s="5">
        <v>4.87</v>
      </c>
    </row>
    <row r="48" spans="1:81" x14ac:dyDescent="0.2">
      <c r="A48" s="2">
        <v>39753</v>
      </c>
      <c r="B48">
        <v>2008</v>
      </c>
      <c r="C48">
        <v>11</v>
      </c>
      <c r="E48">
        <v>3.75</v>
      </c>
      <c r="F48">
        <v>15.06</v>
      </c>
      <c r="G48">
        <v>16.309999999999999</v>
      </c>
      <c r="I48">
        <v>3.75</v>
      </c>
      <c r="J48">
        <v>2.4994999999999998</v>
      </c>
      <c r="K48">
        <v>1.2171000000000001</v>
      </c>
      <c r="L48">
        <v>1.2744</v>
      </c>
      <c r="M48">
        <v>96.965599999999995</v>
      </c>
      <c r="N48">
        <v>6.8281000000000001</v>
      </c>
      <c r="O48">
        <v>1.0470791230000001</v>
      </c>
      <c r="P48">
        <v>79.669378030000004</v>
      </c>
      <c r="Q48">
        <v>5.6101388549999998</v>
      </c>
      <c r="R48">
        <v>8073456</v>
      </c>
      <c r="S48">
        <v>20179785</v>
      </c>
      <c r="T48">
        <v>5052.01</v>
      </c>
      <c r="U48">
        <v>1389.95</v>
      </c>
      <c r="W48">
        <v>2833333.3</v>
      </c>
      <c r="X48">
        <v>26250000</v>
      </c>
      <c r="Y48">
        <v>1090.31</v>
      </c>
      <c r="Z48">
        <v>31.32</v>
      </c>
      <c r="AA48">
        <v>168.96</v>
      </c>
      <c r="AB48">
        <v>67.040000000000006</v>
      </c>
      <c r="AC48">
        <v>60.15</v>
      </c>
      <c r="AD48">
        <v>1417.78</v>
      </c>
      <c r="AE48">
        <v>12698764</v>
      </c>
      <c r="AF48">
        <v>585018</v>
      </c>
      <c r="AG48">
        <v>2819256</v>
      </c>
      <c r="AH48">
        <v>810157</v>
      </c>
      <c r="AI48">
        <v>1475278</v>
      </c>
      <c r="AJ48">
        <v>18388473</v>
      </c>
      <c r="AK48">
        <v>38</v>
      </c>
      <c r="AL48">
        <v>797</v>
      </c>
      <c r="AM48">
        <v>54</v>
      </c>
      <c r="AN48">
        <v>1274</v>
      </c>
      <c r="AO48">
        <v>48</v>
      </c>
      <c r="AP48">
        <v>2211</v>
      </c>
      <c r="AQ48">
        <v>877626</v>
      </c>
      <c r="AR48">
        <v>12993546</v>
      </c>
      <c r="AS48">
        <v>899395</v>
      </c>
      <c r="AT48">
        <v>13705679</v>
      </c>
      <c r="AU48">
        <v>808430</v>
      </c>
      <c r="AV48">
        <v>29284676</v>
      </c>
      <c r="AW48">
        <v>5.28</v>
      </c>
      <c r="AX48">
        <v>8.4700000000000006</v>
      </c>
      <c r="AY48">
        <v>7.57</v>
      </c>
      <c r="AZ48">
        <v>5.48</v>
      </c>
      <c r="BA48">
        <v>5.88</v>
      </c>
      <c r="BB48">
        <v>10.48</v>
      </c>
      <c r="BC48">
        <v>7.39</v>
      </c>
      <c r="BD48">
        <v>7.55</v>
      </c>
      <c r="BE48">
        <v>4.88</v>
      </c>
      <c r="BF48">
        <v>6.01</v>
      </c>
      <c r="BG48">
        <v>0.76900000000000002</v>
      </c>
      <c r="BH48">
        <v>2.2100000000000002E-2</v>
      </c>
      <c r="BI48">
        <v>0.1192</v>
      </c>
      <c r="BJ48">
        <v>4.7300000000000002E-2</v>
      </c>
      <c r="BK48">
        <v>1.72E-2</v>
      </c>
      <c r="BL48">
        <v>0.36049999999999999</v>
      </c>
      <c r="BM48">
        <v>2.4400000000000002E-2</v>
      </c>
      <c r="BN48">
        <v>0.57620000000000005</v>
      </c>
      <c r="BO48">
        <v>0.54</v>
      </c>
      <c r="BP48">
        <v>3.19</v>
      </c>
      <c r="BQ48">
        <v>2.29</v>
      </c>
      <c r="BR48">
        <v>0.2</v>
      </c>
      <c r="BS48">
        <v>2833333.3</v>
      </c>
      <c r="BT48">
        <v>859535.04</v>
      </c>
      <c r="BU48">
        <v>10.050000000000001</v>
      </c>
      <c r="BV48">
        <v>2682478</v>
      </c>
      <c r="BW48">
        <v>15.11</v>
      </c>
      <c r="BZ48" s="5">
        <v>237166.88</v>
      </c>
      <c r="CA48" s="5">
        <v>5.64</v>
      </c>
      <c r="CB48" s="5">
        <v>161001.51999999999</v>
      </c>
      <c r="CC48" s="5">
        <v>6.78</v>
      </c>
    </row>
    <row r="49" spans="1:81" x14ac:dyDescent="0.2">
      <c r="A49" s="2">
        <v>39783</v>
      </c>
      <c r="B49">
        <v>2008</v>
      </c>
      <c r="C49">
        <v>12</v>
      </c>
      <c r="E49">
        <v>3.9780000000000002</v>
      </c>
      <c r="F49">
        <v>14.44</v>
      </c>
      <c r="G49">
        <v>16</v>
      </c>
      <c r="I49">
        <v>3.45</v>
      </c>
      <c r="J49">
        <v>2.6604000000000001</v>
      </c>
      <c r="K49">
        <v>1.2337</v>
      </c>
      <c r="L49">
        <v>1.3511</v>
      </c>
      <c r="M49">
        <v>91.275000000000006</v>
      </c>
      <c r="N49">
        <v>6.8539000000000003</v>
      </c>
      <c r="O49">
        <v>1.095160898</v>
      </c>
      <c r="P49">
        <v>73.984761289999994</v>
      </c>
      <c r="Q49">
        <v>5.5555645619999998</v>
      </c>
      <c r="R49">
        <v>2543657</v>
      </c>
      <c r="S49">
        <v>6767165</v>
      </c>
      <c r="T49">
        <v>14295.58</v>
      </c>
      <c r="U49">
        <v>13141.8</v>
      </c>
      <c r="W49">
        <v>19187500</v>
      </c>
      <c r="X49">
        <v>26250000</v>
      </c>
      <c r="Y49">
        <v>4401.57</v>
      </c>
      <c r="Z49">
        <v>42.63</v>
      </c>
      <c r="AA49">
        <v>900.01</v>
      </c>
      <c r="AB49">
        <v>102.94</v>
      </c>
      <c r="AC49">
        <v>34.94</v>
      </c>
      <c r="AD49">
        <v>5482.09</v>
      </c>
      <c r="AE49">
        <v>48622157</v>
      </c>
      <c r="AF49">
        <v>760898</v>
      </c>
      <c r="AG49">
        <v>14765263</v>
      </c>
      <c r="AH49">
        <v>107305</v>
      </c>
      <c r="AI49">
        <v>2421963</v>
      </c>
      <c r="AJ49">
        <v>66677586</v>
      </c>
      <c r="AK49">
        <v>29</v>
      </c>
      <c r="AL49">
        <v>1931</v>
      </c>
      <c r="AM49">
        <v>84</v>
      </c>
      <c r="AN49">
        <v>164</v>
      </c>
      <c r="AO49">
        <v>79</v>
      </c>
      <c r="AP49">
        <v>2287</v>
      </c>
      <c r="AQ49">
        <v>579334</v>
      </c>
      <c r="AR49">
        <v>32196366</v>
      </c>
      <c r="AS49">
        <v>1325840</v>
      </c>
      <c r="AT49">
        <v>1691072</v>
      </c>
      <c r="AU49">
        <v>1207648</v>
      </c>
      <c r="AV49">
        <v>37000260</v>
      </c>
      <c r="AW49">
        <v>5.01</v>
      </c>
      <c r="AX49">
        <v>8.1</v>
      </c>
      <c r="AY49">
        <v>7.44</v>
      </c>
      <c r="AZ49">
        <v>0.47</v>
      </c>
      <c r="BA49">
        <v>5.52</v>
      </c>
      <c r="BB49">
        <v>9.06</v>
      </c>
      <c r="BC49">
        <v>7.56</v>
      </c>
      <c r="BD49">
        <v>7.16</v>
      </c>
      <c r="BE49">
        <v>4.68</v>
      </c>
      <c r="BF49">
        <v>7.34</v>
      </c>
      <c r="BG49">
        <v>0.80289999999999995</v>
      </c>
      <c r="BH49">
        <v>7.7999999999999996E-3</v>
      </c>
      <c r="BI49">
        <v>0.16420000000000001</v>
      </c>
      <c r="BJ49">
        <v>1.8800000000000001E-2</v>
      </c>
      <c r="BK49">
        <v>1.2699999999999999E-2</v>
      </c>
      <c r="BL49">
        <v>0.84430000000000005</v>
      </c>
      <c r="BM49">
        <v>3.6700000000000003E-2</v>
      </c>
      <c r="BN49">
        <v>7.17E-2</v>
      </c>
      <c r="BO49">
        <v>0.62</v>
      </c>
      <c r="BP49">
        <v>3.09</v>
      </c>
      <c r="BQ49">
        <v>2.4300000000000002</v>
      </c>
      <c r="BR49">
        <v>-4.54</v>
      </c>
      <c r="BS49">
        <v>19187500</v>
      </c>
      <c r="BT49">
        <v>1069183.3799999999</v>
      </c>
      <c r="BU49">
        <v>10.84</v>
      </c>
      <c r="BV49">
        <v>1552.05</v>
      </c>
      <c r="BW49">
        <v>11.11</v>
      </c>
      <c r="BZ49" s="5">
        <v>80717.91</v>
      </c>
      <c r="CA49" s="5">
        <v>4.4400000000000004</v>
      </c>
      <c r="CB49" s="5">
        <v>143223.43</v>
      </c>
      <c r="CC49" s="5">
        <v>3.21</v>
      </c>
    </row>
    <row r="50" spans="1:81" x14ac:dyDescent="0.2">
      <c r="A50" s="2">
        <v>39814</v>
      </c>
      <c r="B50">
        <v>2009</v>
      </c>
      <c r="C50">
        <v>1</v>
      </c>
      <c r="E50">
        <v>6.6</v>
      </c>
      <c r="F50">
        <v>14.25</v>
      </c>
      <c r="G50">
        <v>16</v>
      </c>
      <c r="I50">
        <v>6.31</v>
      </c>
      <c r="J50">
        <v>4.8871000000000002</v>
      </c>
      <c r="K50">
        <v>1.2248000000000001</v>
      </c>
      <c r="L50">
        <v>1.3244</v>
      </c>
      <c r="M50">
        <v>90.120500000000007</v>
      </c>
      <c r="N50">
        <v>6.8360000000000003</v>
      </c>
      <c r="O50">
        <v>1.0813193990000001</v>
      </c>
      <c r="P50">
        <v>73.579768130000005</v>
      </c>
      <c r="Q50">
        <v>5.5813193989999998</v>
      </c>
      <c r="R50">
        <v>1206768</v>
      </c>
      <c r="S50">
        <v>5897609</v>
      </c>
      <c r="T50">
        <v>5905.49</v>
      </c>
      <c r="U50">
        <v>5358.11</v>
      </c>
      <c r="W50">
        <v>16375000</v>
      </c>
      <c r="X50">
        <v>26250000</v>
      </c>
      <c r="Y50">
        <v>1334.87</v>
      </c>
      <c r="Z50">
        <v>33.71</v>
      </c>
      <c r="AA50">
        <v>147.82</v>
      </c>
      <c r="AB50">
        <v>63.94</v>
      </c>
      <c r="AC50">
        <v>48.32</v>
      </c>
      <c r="AD50">
        <v>1628.66</v>
      </c>
      <c r="AE50">
        <v>21870862</v>
      </c>
      <c r="AF50">
        <v>676995</v>
      </c>
      <c r="AG50">
        <v>2713688</v>
      </c>
      <c r="AH50">
        <v>519325</v>
      </c>
      <c r="AI50">
        <v>1928562</v>
      </c>
      <c r="AJ50">
        <v>27709432</v>
      </c>
      <c r="AK50">
        <v>11</v>
      </c>
      <c r="AL50">
        <v>440</v>
      </c>
      <c r="AM50">
        <v>26</v>
      </c>
      <c r="AN50">
        <v>35</v>
      </c>
      <c r="AO50">
        <v>33</v>
      </c>
      <c r="AP50">
        <v>545</v>
      </c>
      <c r="AQ50">
        <v>260287</v>
      </c>
      <c r="AR50">
        <v>7304264</v>
      </c>
      <c r="AS50">
        <v>471781</v>
      </c>
      <c r="AT50">
        <v>454091</v>
      </c>
      <c r="AU50">
        <v>579489</v>
      </c>
      <c r="AV50">
        <v>9069912</v>
      </c>
      <c r="AW50">
        <v>7.43</v>
      </c>
      <c r="AX50">
        <v>9.11</v>
      </c>
      <c r="AY50">
        <v>8.33</v>
      </c>
      <c r="AZ50">
        <v>3.68</v>
      </c>
      <c r="BA50">
        <v>7.72</v>
      </c>
      <c r="BB50">
        <v>10.73</v>
      </c>
      <c r="BC50">
        <v>7.53</v>
      </c>
      <c r="BD50">
        <v>8.23</v>
      </c>
      <c r="BE50">
        <v>5.88</v>
      </c>
      <c r="BF50">
        <v>7.55</v>
      </c>
      <c r="BG50">
        <v>0.8196</v>
      </c>
      <c r="BH50">
        <v>2.07E-2</v>
      </c>
      <c r="BI50">
        <v>9.0800000000000006E-2</v>
      </c>
      <c r="BJ50">
        <v>3.9300000000000002E-2</v>
      </c>
      <c r="BK50">
        <v>2.0199999999999999E-2</v>
      </c>
      <c r="BL50">
        <v>0.80730000000000002</v>
      </c>
      <c r="BM50">
        <v>4.7699999999999999E-2</v>
      </c>
      <c r="BN50">
        <v>6.4199999999999993E-2</v>
      </c>
      <c r="BO50">
        <v>-0.18</v>
      </c>
      <c r="BP50">
        <v>1.68</v>
      </c>
      <c r="BQ50">
        <v>0.9</v>
      </c>
      <c r="BR50">
        <v>-3.75</v>
      </c>
      <c r="BS50">
        <v>16375000</v>
      </c>
      <c r="BT50">
        <v>480633.62</v>
      </c>
      <c r="BU50">
        <v>8.17</v>
      </c>
      <c r="BV50">
        <v>1043047.61</v>
      </c>
      <c r="BW50">
        <v>16.29</v>
      </c>
      <c r="BZ50" s="5">
        <v>32956.93</v>
      </c>
      <c r="CA50" s="5">
        <v>17.12</v>
      </c>
      <c r="CB50" s="5">
        <v>81127.97</v>
      </c>
      <c r="CC50" s="5">
        <v>6.39</v>
      </c>
    </row>
    <row r="51" spans="1:81" x14ac:dyDescent="0.2">
      <c r="A51" s="2">
        <v>39845</v>
      </c>
      <c r="B51">
        <v>2009</v>
      </c>
      <c r="C51">
        <v>2</v>
      </c>
      <c r="E51">
        <v>6.4</v>
      </c>
      <c r="F51">
        <v>14.25</v>
      </c>
      <c r="G51">
        <v>15.56</v>
      </c>
      <c r="I51">
        <v>6.41</v>
      </c>
      <c r="J51">
        <v>4.9013</v>
      </c>
      <c r="K51">
        <v>1.2452000000000001</v>
      </c>
      <c r="L51">
        <v>1.2797000000000001</v>
      </c>
      <c r="M51">
        <v>92.915800000000004</v>
      </c>
      <c r="N51">
        <v>6.8362999999999996</v>
      </c>
      <c r="O51">
        <v>1.0277063930000001</v>
      </c>
      <c r="P51">
        <v>74.619177640000004</v>
      </c>
      <c r="Q51">
        <v>5.4901220689999999</v>
      </c>
      <c r="R51">
        <v>430092</v>
      </c>
      <c r="S51">
        <v>2107996</v>
      </c>
      <c r="T51">
        <v>275.94</v>
      </c>
      <c r="U51">
        <v>80.849999999999994</v>
      </c>
      <c r="W51">
        <v>11500000</v>
      </c>
      <c r="X51">
        <v>26250000</v>
      </c>
      <c r="Y51">
        <v>1429.89</v>
      </c>
      <c r="Z51">
        <v>25.73</v>
      </c>
      <c r="AA51">
        <v>162.37</v>
      </c>
      <c r="AB51">
        <v>55.98</v>
      </c>
      <c r="AC51">
        <v>42.19</v>
      </c>
      <c r="AD51">
        <v>1716.16</v>
      </c>
      <c r="AE51">
        <v>25059594</v>
      </c>
      <c r="AF51">
        <v>505738</v>
      </c>
      <c r="AG51">
        <v>3177440</v>
      </c>
      <c r="AH51">
        <v>533753</v>
      </c>
      <c r="AI51">
        <v>1688349</v>
      </c>
      <c r="AJ51">
        <v>30964874</v>
      </c>
      <c r="AK51">
        <v>11</v>
      </c>
      <c r="AL51">
        <v>533</v>
      </c>
      <c r="AM51">
        <v>33</v>
      </c>
      <c r="AN51">
        <v>29</v>
      </c>
      <c r="AO51">
        <v>41</v>
      </c>
      <c r="AP51">
        <v>647</v>
      </c>
      <c r="AQ51">
        <v>267500</v>
      </c>
      <c r="AR51">
        <v>8689868</v>
      </c>
      <c r="AS51">
        <v>638467</v>
      </c>
      <c r="AT51">
        <v>375294</v>
      </c>
      <c r="AU51">
        <v>664650</v>
      </c>
      <c r="AV51">
        <v>10635779</v>
      </c>
      <c r="AW51">
        <v>7.95</v>
      </c>
      <c r="AX51">
        <v>8.92</v>
      </c>
      <c r="AY51">
        <v>8.8800000000000008</v>
      </c>
      <c r="AZ51">
        <v>4.32</v>
      </c>
      <c r="BA51">
        <v>8.18</v>
      </c>
      <c r="BB51">
        <v>11.03</v>
      </c>
      <c r="BC51">
        <v>7.4</v>
      </c>
      <c r="BD51">
        <v>8.7799999999999994</v>
      </c>
      <c r="BE51">
        <v>5.87</v>
      </c>
      <c r="BF51">
        <v>7.46</v>
      </c>
      <c r="BG51">
        <v>0.83320000000000005</v>
      </c>
      <c r="BH51">
        <v>1.4999999999999999E-2</v>
      </c>
      <c r="BI51">
        <v>9.4600000000000004E-2</v>
      </c>
      <c r="BJ51">
        <v>3.2599999999999997E-2</v>
      </c>
      <c r="BK51">
        <v>1.7000000000000001E-2</v>
      </c>
      <c r="BL51">
        <v>0.82379999999999998</v>
      </c>
      <c r="BM51">
        <v>5.0999999999999997E-2</v>
      </c>
      <c r="BN51">
        <v>4.48E-2</v>
      </c>
      <c r="BO51">
        <v>-0.51</v>
      </c>
      <c r="BP51">
        <v>0.97</v>
      </c>
      <c r="BQ51">
        <v>0.93</v>
      </c>
      <c r="BR51">
        <v>-3.62</v>
      </c>
      <c r="BS51">
        <v>11500000</v>
      </c>
      <c r="BT51">
        <v>200455.07</v>
      </c>
      <c r="BU51">
        <v>5.98</v>
      </c>
      <c r="BV51">
        <v>2138.48</v>
      </c>
      <c r="BW51">
        <v>2</v>
      </c>
      <c r="BX51">
        <v>33000.95678</v>
      </c>
      <c r="BY51">
        <v>10.180219989999999</v>
      </c>
      <c r="BZ51" s="5">
        <v>107371.82</v>
      </c>
      <c r="CA51" s="5">
        <v>2.92</v>
      </c>
      <c r="CB51" s="5">
        <v>84384.2</v>
      </c>
      <c r="CC51" s="5">
        <v>7.62</v>
      </c>
    </row>
    <row r="52" spans="1:81" x14ac:dyDescent="0.2">
      <c r="A52" s="2">
        <v>39873</v>
      </c>
      <c r="B52">
        <v>2009</v>
      </c>
      <c r="C52">
        <v>3</v>
      </c>
      <c r="E52">
        <v>7.7610000000000001</v>
      </c>
      <c r="F52">
        <v>14.25</v>
      </c>
      <c r="G52">
        <v>15.5</v>
      </c>
      <c r="I52">
        <v>6.85</v>
      </c>
      <c r="J52">
        <v>6.2534999999999998</v>
      </c>
      <c r="K52">
        <v>1.2645</v>
      </c>
      <c r="L52">
        <v>1.3049999999999999</v>
      </c>
      <c r="M52">
        <v>97.855000000000004</v>
      </c>
      <c r="N52">
        <v>6.8360000000000003</v>
      </c>
      <c r="O52">
        <v>1.03202847</v>
      </c>
      <c r="P52">
        <v>77.386318700000004</v>
      </c>
      <c r="Q52">
        <v>5.4060893630000004</v>
      </c>
      <c r="R52">
        <v>355780</v>
      </c>
      <c r="S52">
        <v>2224857</v>
      </c>
      <c r="T52">
        <v>242.23</v>
      </c>
      <c r="U52">
        <v>80.849999999999994</v>
      </c>
      <c r="W52">
        <v>6062500</v>
      </c>
      <c r="X52">
        <v>26250000</v>
      </c>
      <c r="Y52">
        <v>1350.25</v>
      </c>
      <c r="Z52">
        <v>101.13</v>
      </c>
      <c r="AA52">
        <v>181.05</v>
      </c>
      <c r="AB52">
        <v>57.61</v>
      </c>
      <c r="AC52">
        <v>77.77</v>
      </c>
      <c r="AD52">
        <v>1767.81</v>
      </c>
      <c r="AE52">
        <v>26549494</v>
      </c>
      <c r="AF52">
        <v>846403</v>
      </c>
      <c r="AG52">
        <v>3281097</v>
      </c>
      <c r="AH52">
        <v>943327</v>
      </c>
      <c r="AI52">
        <v>2235873</v>
      </c>
      <c r="AJ52">
        <v>33856194</v>
      </c>
      <c r="AK52">
        <v>5</v>
      </c>
      <c r="AL52">
        <v>525</v>
      </c>
      <c r="AM52">
        <v>50</v>
      </c>
      <c r="AN52">
        <v>17</v>
      </c>
      <c r="AO52">
        <v>39</v>
      </c>
      <c r="AP52">
        <v>636</v>
      </c>
      <c r="AQ52">
        <v>122525</v>
      </c>
      <c r="AR52">
        <v>8575036</v>
      </c>
      <c r="AS52">
        <v>987425</v>
      </c>
      <c r="AT52">
        <v>224020</v>
      </c>
      <c r="AU52">
        <v>691510</v>
      </c>
      <c r="AV52">
        <v>10600516</v>
      </c>
      <c r="AW52">
        <v>8.92</v>
      </c>
      <c r="AX52">
        <v>3.8</v>
      </c>
      <c r="AY52">
        <v>8.2200000000000006</v>
      </c>
      <c r="AZ52">
        <v>7.43</v>
      </c>
      <c r="BA52">
        <v>8.69</v>
      </c>
      <c r="BB52">
        <v>11.12</v>
      </c>
      <c r="BC52">
        <v>7.41</v>
      </c>
      <c r="BD52">
        <v>8.9600000000000009</v>
      </c>
      <c r="BE52">
        <v>5.98</v>
      </c>
      <c r="BF52">
        <v>7.56</v>
      </c>
      <c r="BG52">
        <v>0.76380000000000003</v>
      </c>
      <c r="BH52">
        <v>5.7200000000000001E-2</v>
      </c>
      <c r="BI52">
        <v>0.1024</v>
      </c>
      <c r="BJ52">
        <v>3.2599999999999997E-2</v>
      </c>
      <c r="BK52">
        <v>7.9000000000000008E-3</v>
      </c>
      <c r="BL52">
        <v>0.82550000000000001</v>
      </c>
      <c r="BM52">
        <v>7.8600000000000003E-2</v>
      </c>
      <c r="BN52">
        <v>2.6700000000000002E-2</v>
      </c>
      <c r="BO52">
        <v>-1.08</v>
      </c>
      <c r="BP52">
        <v>-5.12</v>
      </c>
      <c r="BQ52">
        <v>-0.7</v>
      </c>
      <c r="BR52">
        <v>-1.49</v>
      </c>
      <c r="BS52">
        <v>6062500</v>
      </c>
      <c r="BT52">
        <v>215188.55</v>
      </c>
      <c r="BU52">
        <v>3.84</v>
      </c>
      <c r="BV52">
        <v>1875505.51</v>
      </c>
      <c r="BW52">
        <v>15.82</v>
      </c>
      <c r="BX52">
        <v>33699.821320000003</v>
      </c>
      <c r="BY52">
        <v>5.0946560920000001</v>
      </c>
      <c r="BZ52" s="5">
        <v>34004.129999999997</v>
      </c>
      <c r="CA52" s="5">
        <v>9.0299999999999994</v>
      </c>
      <c r="CB52" s="5">
        <v>58823.79</v>
      </c>
      <c r="CC52" s="5">
        <v>5.0999999999999996</v>
      </c>
    </row>
    <row r="53" spans="1:81" x14ac:dyDescent="0.2">
      <c r="A53" s="2">
        <v>39904</v>
      </c>
      <c r="B53">
        <v>2009</v>
      </c>
      <c r="C53">
        <v>4</v>
      </c>
      <c r="E53">
        <v>5.8280000000000003</v>
      </c>
      <c r="F53">
        <v>14.25</v>
      </c>
      <c r="G53">
        <v>15.5</v>
      </c>
      <c r="I53">
        <v>5.29</v>
      </c>
      <c r="J53">
        <v>4.3714000000000004</v>
      </c>
      <c r="K53">
        <v>1.2242</v>
      </c>
      <c r="L53">
        <v>1.3199000000000001</v>
      </c>
      <c r="M53">
        <v>98.92</v>
      </c>
      <c r="N53">
        <v>6.8305999999999996</v>
      </c>
      <c r="O53">
        <v>1.078173501</v>
      </c>
      <c r="P53">
        <v>80.803790230000004</v>
      </c>
      <c r="Q53">
        <v>5.579643849</v>
      </c>
      <c r="R53">
        <v>849123</v>
      </c>
      <c r="S53">
        <v>3711814</v>
      </c>
      <c r="T53">
        <v>1821.51</v>
      </c>
      <c r="U53">
        <v>1436.35</v>
      </c>
      <c r="W53">
        <v>2593750</v>
      </c>
      <c r="X53">
        <v>26250000</v>
      </c>
      <c r="Y53">
        <v>1741.89</v>
      </c>
      <c r="Z53">
        <v>27.03</v>
      </c>
      <c r="AA53">
        <v>153.55000000000001</v>
      </c>
      <c r="AB53">
        <v>57.79</v>
      </c>
      <c r="AC53">
        <v>41.04</v>
      </c>
      <c r="AD53">
        <v>2021.3</v>
      </c>
      <c r="AE53">
        <v>26230764</v>
      </c>
      <c r="AF53">
        <v>515179</v>
      </c>
      <c r="AG53">
        <v>2786238</v>
      </c>
      <c r="AH53">
        <v>518104</v>
      </c>
      <c r="AI53">
        <v>1571120</v>
      </c>
      <c r="AJ53">
        <v>31621405</v>
      </c>
      <c r="AK53">
        <v>0</v>
      </c>
      <c r="AL53">
        <v>623</v>
      </c>
      <c r="AM53">
        <v>36</v>
      </c>
      <c r="AN53">
        <v>4</v>
      </c>
      <c r="AO53">
        <v>36</v>
      </c>
      <c r="AP53">
        <v>699</v>
      </c>
      <c r="AQ53">
        <v>0</v>
      </c>
      <c r="AR53">
        <v>10044228</v>
      </c>
      <c r="AS53">
        <v>652706</v>
      </c>
      <c r="AT53">
        <v>53699</v>
      </c>
      <c r="AU53">
        <v>602572</v>
      </c>
      <c r="AV53">
        <v>11353205</v>
      </c>
      <c r="AW53">
        <v>6.83</v>
      </c>
      <c r="AX53">
        <v>8.65</v>
      </c>
      <c r="AY53">
        <v>8.23</v>
      </c>
      <c r="AZ53">
        <v>4.07</v>
      </c>
      <c r="BA53">
        <v>7.1</v>
      </c>
      <c r="BC53">
        <v>7.31</v>
      </c>
      <c r="BD53">
        <v>8.2200000000000006</v>
      </c>
      <c r="BE53">
        <v>6.09</v>
      </c>
      <c r="BF53">
        <v>7.37</v>
      </c>
      <c r="BG53">
        <v>0.86180000000000001</v>
      </c>
      <c r="BH53">
        <v>1.34E-2</v>
      </c>
      <c r="BI53">
        <v>7.5999999999999998E-2</v>
      </c>
      <c r="BJ53">
        <v>2.86E-2</v>
      </c>
      <c r="BK53">
        <v>0</v>
      </c>
      <c r="BL53">
        <v>0.89129999999999998</v>
      </c>
      <c r="BM53">
        <v>5.1499999999999997E-2</v>
      </c>
      <c r="BN53">
        <v>5.7000000000000002E-3</v>
      </c>
      <c r="BO53">
        <v>0.51</v>
      </c>
      <c r="BP53">
        <v>1.82</v>
      </c>
      <c r="BQ53">
        <v>1.4</v>
      </c>
      <c r="BR53">
        <v>-2.76</v>
      </c>
      <c r="BS53">
        <v>2593750</v>
      </c>
      <c r="BT53">
        <v>60750.51</v>
      </c>
      <c r="BU53">
        <v>4.57</v>
      </c>
      <c r="BV53">
        <v>2212142.16</v>
      </c>
      <c r="BW53">
        <v>15.9</v>
      </c>
      <c r="BX53">
        <v>2610.2700799999998</v>
      </c>
      <c r="BY53">
        <v>3.7030650870000001</v>
      </c>
      <c r="BZ53" s="5">
        <v>38206.14</v>
      </c>
      <c r="CA53" s="5">
        <v>0.9</v>
      </c>
      <c r="CB53" s="5">
        <v>85396.13</v>
      </c>
      <c r="CC53" s="5">
        <v>5.57</v>
      </c>
    </row>
    <row r="54" spans="1:81" x14ac:dyDescent="0.2">
      <c r="A54" s="2">
        <v>39934</v>
      </c>
      <c r="B54">
        <v>2009</v>
      </c>
      <c r="C54">
        <v>5</v>
      </c>
      <c r="E54">
        <v>4.875</v>
      </c>
      <c r="F54">
        <v>13.25</v>
      </c>
      <c r="G54">
        <v>14.45</v>
      </c>
      <c r="H54">
        <v>2.81</v>
      </c>
      <c r="I54">
        <v>3.96</v>
      </c>
      <c r="J54">
        <v>3.6408999999999998</v>
      </c>
      <c r="K54">
        <v>1.1528</v>
      </c>
      <c r="L54">
        <v>1.3646</v>
      </c>
      <c r="M54">
        <v>96.644499999999994</v>
      </c>
      <c r="N54">
        <v>6.8235000000000001</v>
      </c>
      <c r="O54">
        <v>1.183726579</v>
      </c>
      <c r="P54">
        <v>83.834576679999998</v>
      </c>
      <c r="Q54">
        <v>5.9190666199999997</v>
      </c>
      <c r="R54">
        <v>2142314</v>
      </c>
      <c r="S54">
        <v>7800036</v>
      </c>
      <c r="T54">
        <v>19150.939999999999</v>
      </c>
      <c r="U54">
        <v>18179.2</v>
      </c>
      <c r="W54">
        <v>4516667.5</v>
      </c>
      <c r="X54">
        <v>26250000</v>
      </c>
      <c r="Y54">
        <v>3534.15</v>
      </c>
      <c r="Z54">
        <v>31.99</v>
      </c>
      <c r="AA54">
        <v>314.94</v>
      </c>
      <c r="AB54">
        <v>56.34</v>
      </c>
      <c r="AC54">
        <v>47.96</v>
      </c>
      <c r="AD54">
        <v>3985.38</v>
      </c>
      <c r="AE54">
        <v>40984157</v>
      </c>
      <c r="AF54">
        <v>587586</v>
      </c>
      <c r="AG54">
        <v>4813373</v>
      </c>
      <c r="AH54">
        <v>539804</v>
      </c>
      <c r="AI54">
        <v>1379693</v>
      </c>
      <c r="AJ54">
        <v>48304613</v>
      </c>
      <c r="AK54">
        <v>0</v>
      </c>
      <c r="AL54">
        <v>695</v>
      </c>
      <c r="AM54">
        <v>35</v>
      </c>
      <c r="AN54">
        <v>87</v>
      </c>
      <c r="AO54">
        <v>38</v>
      </c>
      <c r="AP54">
        <v>855</v>
      </c>
      <c r="AQ54">
        <v>0</v>
      </c>
      <c r="AR54">
        <v>11066252</v>
      </c>
      <c r="AS54">
        <v>578265</v>
      </c>
      <c r="AT54">
        <v>796180</v>
      </c>
      <c r="AU54">
        <v>618299</v>
      </c>
      <c r="AV54">
        <v>13058996</v>
      </c>
      <c r="AW54">
        <v>5.26</v>
      </c>
      <c r="AX54">
        <v>8.33</v>
      </c>
      <c r="AY54">
        <v>6.93</v>
      </c>
      <c r="AZ54">
        <v>4.3499999999999996</v>
      </c>
      <c r="BA54">
        <v>5.5</v>
      </c>
      <c r="BC54">
        <v>7.22</v>
      </c>
      <c r="BD54">
        <v>7.49</v>
      </c>
      <c r="BE54">
        <v>4.1500000000000004</v>
      </c>
      <c r="BF54">
        <v>6.93</v>
      </c>
      <c r="BG54">
        <v>0.88680000000000003</v>
      </c>
      <c r="BH54">
        <v>8.0000000000000002E-3</v>
      </c>
      <c r="BI54">
        <v>7.9000000000000001E-2</v>
      </c>
      <c r="BJ54">
        <v>1.41E-2</v>
      </c>
      <c r="BK54">
        <v>0</v>
      </c>
      <c r="BL54">
        <v>0.81289999999999996</v>
      </c>
      <c r="BM54">
        <v>4.0899999999999999E-2</v>
      </c>
      <c r="BN54">
        <v>0.1018</v>
      </c>
      <c r="BO54">
        <v>-0.41</v>
      </c>
      <c r="BP54">
        <v>3.07</v>
      </c>
      <c r="BQ54">
        <v>1.67</v>
      </c>
      <c r="BR54">
        <v>-0.91</v>
      </c>
      <c r="BS54">
        <v>4516667.5</v>
      </c>
      <c r="BT54">
        <v>1571318.65</v>
      </c>
      <c r="BU54">
        <v>10.199999999999999</v>
      </c>
      <c r="BV54">
        <v>189603.93</v>
      </c>
      <c r="BW54">
        <v>11.64</v>
      </c>
      <c r="BZ54" s="5">
        <v>54275.65</v>
      </c>
      <c r="CA54" s="5">
        <v>8.83</v>
      </c>
      <c r="CB54" s="5">
        <v>82371.38</v>
      </c>
      <c r="CC54" s="5">
        <v>6.76</v>
      </c>
    </row>
    <row r="55" spans="1:81" x14ac:dyDescent="0.2">
      <c r="A55" s="2">
        <v>39965</v>
      </c>
      <c r="B55">
        <v>2009</v>
      </c>
      <c r="C55">
        <v>6</v>
      </c>
      <c r="E55">
        <v>5.1280000000000001</v>
      </c>
      <c r="F55">
        <v>13.36</v>
      </c>
      <c r="G55">
        <v>13.75</v>
      </c>
      <c r="H55">
        <v>2.83</v>
      </c>
      <c r="I55">
        <v>3.74</v>
      </c>
      <c r="J55">
        <v>3.9211</v>
      </c>
      <c r="K55">
        <v>1.1264000000000001</v>
      </c>
      <c r="L55">
        <v>1.4014</v>
      </c>
      <c r="M55">
        <v>96.614500000000007</v>
      </c>
      <c r="N55">
        <v>6.8334000000000001</v>
      </c>
      <c r="O55">
        <v>1.244140625</v>
      </c>
      <c r="P55">
        <v>85.772816050000003</v>
      </c>
      <c r="Q55">
        <v>6.0665838069999998</v>
      </c>
      <c r="R55">
        <v>2321065</v>
      </c>
      <c r="S55">
        <v>9101050</v>
      </c>
      <c r="T55">
        <v>12327.37</v>
      </c>
      <c r="U55">
        <v>11274.55</v>
      </c>
      <c r="W55">
        <v>19718750</v>
      </c>
      <c r="X55">
        <v>26250000</v>
      </c>
      <c r="Y55">
        <v>3474.13</v>
      </c>
      <c r="Z55">
        <v>38.83</v>
      </c>
      <c r="AA55">
        <v>392.03</v>
      </c>
      <c r="AB55">
        <v>62.47</v>
      </c>
      <c r="AC55">
        <v>42.68</v>
      </c>
      <c r="AD55">
        <v>4010.14</v>
      </c>
      <c r="AE55">
        <v>41510483</v>
      </c>
      <c r="AF55">
        <v>729402</v>
      </c>
      <c r="AG55">
        <v>6173143</v>
      </c>
      <c r="AH55">
        <v>351937</v>
      </c>
      <c r="AI55">
        <v>1567590</v>
      </c>
      <c r="AJ55">
        <v>50332555</v>
      </c>
      <c r="AK55">
        <v>4</v>
      </c>
      <c r="AL55">
        <v>770</v>
      </c>
      <c r="AM55">
        <v>45</v>
      </c>
      <c r="AN55">
        <v>40</v>
      </c>
      <c r="AO55">
        <v>39</v>
      </c>
      <c r="AP55">
        <v>898</v>
      </c>
      <c r="AQ55">
        <v>62670</v>
      </c>
      <c r="AR55">
        <v>11926049</v>
      </c>
      <c r="AS55">
        <v>642420</v>
      </c>
      <c r="AT55">
        <v>403067</v>
      </c>
      <c r="AU55">
        <v>619355</v>
      </c>
      <c r="AV55">
        <v>13653561</v>
      </c>
      <c r="AW55">
        <v>5.42</v>
      </c>
      <c r="AX55">
        <v>8.52</v>
      </c>
      <c r="AY55">
        <v>7.14</v>
      </c>
      <c r="AZ55">
        <v>2.56</v>
      </c>
      <c r="BA55">
        <v>5.69</v>
      </c>
      <c r="BB55">
        <v>7.11</v>
      </c>
      <c r="BC55">
        <v>7.03</v>
      </c>
      <c r="BD55">
        <v>6.48</v>
      </c>
      <c r="BE55">
        <v>4.57</v>
      </c>
      <c r="BF55">
        <v>6.9</v>
      </c>
      <c r="BG55">
        <v>0.86629999999999996</v>
      </c>
      <c r="BH55">
        <v>9.7000000000000003E-3</v>
      </c>
      <c r="BI55">
        <v>9.7799999999999998E-2</v>
      </c>
      <c r="BJ55">
        <v>1.5599999999999999E-2</v>
      </c>
      <c r="BK55">
        <v>4.4999999999999997E-3</v>
      </c>
      <c r="BL55">
        <v>0.85750000000000004</v>
      </c>
      <c r="BM55">
        <v>5.0099999999999999E-2</v>
      </c>
      <c r="BN55">
        <v>4.4499999999999998E-2</v>
      </c>
      <c r="BO55">
        <v>-0.24</v>
      </c>
      <c r="BP55">
        <v>3.1</v>
      </c>
      <c r="BQ55">
        <v>1.72</v>
      </c>
      <c r="BR55">
        <v>-2.86</v>
      </c>
      <c r="BS55">
        <v>19718750</v>
      </c>
      <c r="BT55">
        <v>2227988.9700000002</v>
      </c>
      <c r="BU55">
        <v>9.6999999999999993</v>
      </c>
      <c r="BV55">
        <v>2008243.47</v>
      </c>
      <c r="BW55">
        <v>16.579999999999998</v>
      </c>
      <c r="BX55">
        <v>36477.642520000001</v>
      </c>
      <c r="BY55">
        <v>5.8804512899999999</v>
      </c>
      <c r="BZ55" s="5">
        <v>319267.09000000003</v>
      </c>
      <c r="CA55" s="5">
        <v>5.29</v>
      </c>
      <c r="CB55" s="5">
        <v>723313.02</v>
      </c>
      <c r="CC55" s="5">
        <v>5.54</v>
      </c>
    </row>
    <row r="56" spans="1:81" x14ac:dyDescent="0.2">
      <c r="A56" s="2">
        <v>39995</v>
      </c>
      <c r="B56">
        <v>2009</v>
      </c>
      <c r="C56">
        <v>7</v>
      </c>
      <c r="E56">
        <v>6.15</v>
      </c>
      <c r="F56">
        <v>13.5</v>
      </c>
      <c r="G56">
        <v>13.75</v>
      </c>
      <c r="H56">
        <v>3</v>
      </c>
      <c r="I56">
        <v>4.54</v>
      </c>
      <c r="J56">
        <v>3.0106000000000002</v>
      </c>
      <c r="K56">
        <v>1.1229</v>
      </c>
      <c r="L56">
        <v>1.4092</v>
      </c>
      <c r="M56">
        <v>94.367000000000004</v>
      </c>
      <c r="N56">
        <v>6.8316999999999997</v>
      </c>
      <c r="O56">
        <v>1.2549648229999999</v>
      </c>
      <c r="P56">
        <v>84.038649919999997</v>
      </c>
      <c r="Q56">
        <v>6.0839789829999997</v>
      </c>
      <c r="R56">
        <v>9734875</v>
      </c>
      <c r="S56">
        <v>29307438</v>
      </c>
      <c r="T56">
        <v>5468.62</v>
      </c>
      <c r="U56">
        <v>1052.95</v>
      </c>
      <c r="W56">
        <v>21250000</v>
      </c>
      <c r="X56">
        <v>26250000</v>
      </c>
      <c r="Y56">
        <v>1494.74</v>
      </c>
      <c r="Z56">
        <v>46.78</v>
      </c>
      <c r="AA56">
        <v>293.55</v>
      </c>
      <c r="AB56">
        <v>53.99</v>
      </c>
      <c r="AC56">
        <v>77.38</v>
      </c>
      <c r="AD56">
        <v>1966.44</v>
      </c>
      <c r="AE56">
        <v>20036974</v>
      </c>
      <c r="AF56">
        <v>705132</v>
      </c>
      <c r="AG56">
        <v>4432584</v>
      </c>
      <c r="AH56">
        <v>587403</v>
      </c>
      <c r="AI56">
        <v>1212397</v>
      </c>
      <c r="AJ56">
        <v>26974490</v>
      </c>
      <c r="AK56">
        <v>3</v>
      </c>
      <c r="AL56">
        <v>773</v>
      </c>
      <c r="AM56">
        <v>33</v>
      </c>
      <c r="AN56">
        <v>591</v>
      </c>
      <c r="AO56">
        <v>33</v>
      </c>
      <c r="AP56">
        <v>1433</v>
      </c>
      <c r="AQ56">
        <v>52160</v>
      </c>
      <c r="AR56">
        <v>11884701</v>
      </c>
      <c r="AS56">
        <v>533680</v>
      </c>
      <c r="AT56">
        <v>6741009</v>
      </c>
      <c r="AU56">
        <v>562402</v>
      </c>
      <c r="AV56">
        <v>19773952</v>
      </c>
      <c r="AW56">
        <v>6.08</v>
      </c>
      <c r="AX56">
        <v>6.84</v>
      </c>
      <c r="AY56">
        <v>6.85</v>
      </c>
      <c r="AZ56">
        <v>4.9400000000000004</v>
      </c>
      <c r="BA56">
        <v>6.22</v>
      </c>
      <c r="BB56">
        <v>7.89</v>
      </c>
      <c r="BC56">
        <v>6.97</v>
      </c>
      <c r="BD56">
        <v>7.34</v>
      </c>
      <c r="BE56">
        <v>5.17</v>
      </c>
      <c r="BF56">
        <v>6.26</v>
      </c>
      <c r="BG56">
        <v>0.7601</v>
      </c>
      <c r="BH56">
        <v>2.3800000000000002E-2</v>
      </c>
      <c r="BI56">
        <v>0.14929999999999999</v>
      </c>
      <c r="BJ56">
        <v>2.75E-2</v>
      </c>
      <c r="BK56">
        <v>2.0999999999999999E-3</v>
      </c>
      <c r="BL56">
        <v>0.53939999999999999</v>
      </c>
      <c r="BM56">
        <v>2.3E-2</v>
      </c>
      <c r="BN56">
        <v>0.41239999999999999</v>
      </c>
      <c r="BO56">
        <v>-0.24</v>
      </c>
      <c r="BP56">
        <v>0.76</v>
      </c>
      <c r="BQ56">
        <v>0.77</v>
      </c>
      <c r="BR56">
        <v>-1.1499999999999999</v>
      </c>
      <c r="BS56">
        <v>21250000</v>
      </c>
      <c r="BT56">
        <v>674538.76</v>
      </c>
      <c r="BU56">
        <v>8.3000000000000007</v>
      </c>
      <c r="BV56">
        <v>181949.49</v>
      </c>
      <c r="BW56">
        <v>14.96</v>
      </c>
      <c r="BX56">
        <v>68221.965899999996</v>
      </c>
      <c r="BY56">
        <v>2.2987610799999998</v>
      </c>
      <c r="BZ56" s="5">
        <v>450292.33</v>
      </c>
      <c r="CA56" s="5">
        <v>3.88</v>
      </c>
      <c r="CB56" s="5">
        <v>1005670.29</v>
      </c>
      <c r="CC56" s="5">
        <v>5.36</v>
      </c>
    </row>
    <row r="57" spans="1:81" x14ac:dyDescent="0.2">
      <c r="A57" s="2">
        <v>40026</v>
      </c>
      <c r="B57">
        <v>2009</v>
      </c>
      <c r="C57">
        <v>8</v>
      </c>
      <c r="E57">
        <v>4.45</v>
      </c>
      <c r="F57">
        <v>13.5</v>
      </c>
      <c r="G57">
        <v>13.75</v>
      </c>
      <c r="H57">
        <v>2.63</v>
      </c>
      <c r="I57">
        <v>3.92</v>
      </c>
      <c r="J57">
        <v>2.6362999999999999</v>
      </c>
      <c r="K57">
        <v>1.0871999999999999</v>
      </c>
      <c r="L57">
        <v>1.4266000000000001</v>
      </c>
      <c r="M57">
        <v>94.897099999999995</v>
      </c>
      <c r="N57">
        <v>6.8323</v>
      </c>
      <c r="O57">
        <v>1.312178072</v>
      </c>
      <c r="P57">
        <v>87.285779989999995</v>
      </c>
      <c r="Q57">
        <v>6.2843083149999996</v>
      </c>
      <c r="R57">
        <v>16889829</v>
      </c>
      <c r="S57">
        <v>44527403</v>
      </c>
      <c r="T57">
        <v>8057.11</v>
      </c>
      <c r="U57">
        <v>396</v>
      </c>
      <c r="W57">
        <v>14667808.5</v>
      </c>
      <c r="X57">
        <v>26250000</v>
      </c>
      <c r="Y57">
        <v>1207.32</v>
      </c>
      <c r="Z57">
        <v>48.23</v>
      </c>
      <c r="AA57">
        <v>257.55</v>
      </c>
      <c r="AB57">
        <v>52.15</v>
      </c>
      <c r="AC57">
        <v>40.909999999999997</v>
      </c>
      <c r="AD57">
        <v>1606.16</v>
      </c>
      <c r="AE57">
        <v>16868265</v>
      </c>
      <c r="AF57">
        <v>925078</v>
      </c>
      <c r="AG57">
        <v>4484903</v>
      </c>
      <c r="AH57">
        <v>506238</v>
      </c>
      <c r="AI57">
        <v>1364384</v>
      </c>
      <c r="AJ57">
        <v>24148868</v>
      </c>
      <c r="AK57">
        <v>1</v>
      </c>
      <c r="AL57">
        <v>739</v>
      </c>
      <c r="AM57">
        <v>23</v>
      </c>
      <c r="AN57">
        <v>2152</v>
      </c>
      <c r="AO57">
        <v>38</v>
      </c>
      <c r="AP57">
        <v>2953</v>
      </c>
      <c r="AQ57">
        <v>26000</v>
      </c>
      <c r="AR57">
        <v>11156050</v>
      </c>
      <c r="AS57">
        <v>389901</v>
      </c>
      <c r="AT57">
        <v>24977404</v>
      </c>
      <c r="AU57">
        <v>602871</v>
      </c>
      <c r="AV57">
        <v>37152226</v>
      </c>
      <c r="AW57">
        <v>6.34</v>
      </c>
      <c r="AX57">
        <v>8.6999999999999993</v>
      </c>
      <c r="AY57">
        <v>7.9</v>
      </c>
      <c r="AZ57">
        <v>4.4000000000000004</v>
      </c>
      <c r="BA57">
        <v>6.82</v>
      </c>
      <c r="BB57">
        <v>11.79</v>
      </c>
      <c r="BC57">
        <v>6.85</v>
      </c>
      <c r="BD57">
        <v>7.69</v>
      </c>
      <c r="BE57">
        <v>5.26</v>
      </c>
      <c r="BF57">
        <v>5.71</v>
      </c>
      <c r="BG57">
        <v>0.75170000000000003</v>
      </c>
      <c r="BH57">
        <v>0.03</v>
      </c>
      <c r="BI57">
        <v>0.16039999999999999</v>
      </c>
      <c r="BJ57">
        <v>3.2500000000000001E-2</v>
      </c>
      <c r="BK57">
        <v>2.9999999999999997E-4</v>
      </c>
      <c r="BL57">
        <v>0.25030000000000002</v>
      </c>
      <c r="BM57">
        <v>7.7999999999999996E-3</v>
      </c>
      <c r="BN57">
        <v>0.7288</v>
      </c>
      <c r="BO57">
        <v>-0.56000000000000005</v>
      </c>
      <c r="BP57">
        <v>2.36</v>
      </c>
      <c r="BQ57">
        <v>1.56</v>
      </c>
      <c r="BR57">
        <v>-1.93</v>
      </c>
      <c r="BS57">
        <v>14667808.5</v>
      </c>
      <c r="BT57">
        <v>988392.88</v>
      </c>
      <c r="BU57">
        <v>11.04</v>
      </c>
      <c r="BV57">
        <v>1750717.4</v>
      </c>
      <c r="BW57">
        <v>15.82</v>
      </c>
      <c r="BX57">
        <v>14625.44908</v>
      </c>
      <c r="BY57">
        <v>9.2940735879999998</v>
      </c>
      <c r="BZ57" s="5">
        <v>109576.45</v>
      </c>
      <c r="CA57" s="5">
        <v>6.22</v>
      </c>
      <c r="CB57" s="5">
        <v>542011.31999999995</v>
      </c>
      <c r="CC57" s="5">
        <v>5.52</v>
      </c>
    </row>
    <row r="58" spans="1:81" x14ac:dyDescent="0.2">
      <c r="A58" s="2">
        <v>40057</v>
      </c>
      <c r="B58">
        <v>2009</v>
      </c>
      <c r="C58">
        <v>9</v>
      </c>
      <c r="E58">
        <v>3.8</v>
      </c>
      <c r="F58">
        <v>13.75</v>
      </c>
      <c r="G58">
        <v>13.5</v>
      </c>
      <c r="H58">
        <v>2.63</v>
      </c>
      <c r="I58">
        <v>3.26</v>
      </c>
      <c r="J58">
        <v>2.6324999999999998</v>
      </c>
      <c r="K58">
        <v>1.0815999999999999</v>
      </c>
      <c r="L58">
        <v>1.4575</v>
      </c>
      <c r="M58">
        <v>91.274799999999999</v>
      </c>
      <c r="N58">
        <v>6.8277000000000001</v>
      </c>
      <c r="O58">
        <v>1.34754068</v>
      </c>
      <c r="P58">
        <v>84.38868343</v>
      </c>
      <c r="Q58">
        <v>6.312592456</v>
      </c>
      <c r="R58">
        <v>16892449</v>
      </c>
      <c r="S58">
        <v>44469355</v>
      </c>
      <c r="T58">
        <v>8058.3</v>
      </c>
      <c r="U58">
        <v>396</v>
      </c>
      <c r="W58">
        <v>7917186.7999999998</v>
      </c>
      <c r="X58">
        <v>26250000</v>
      </c>
      <c r="Y58">
        <v>374.72</v>
      </c>
      <c r="Z58">
        <v>64.97</v>
      </c>
      <c r="AA58">
        <v>247.13</v>
      </c>
      <c r="AB58">
        <v>54.77</v>
      </c>
      <c r="AC58">
        <v>51.25</v>
      </c>
      <c r="AD58">
        <v>792.84</v>
      </c>
      <c r="AE58">
        <v>5656544</v>
      </c>
      <c r="AF58">
        <v>1127405</v>
      </c>
      <c r="AG58">
        <v>4148395</v>
      </c>
      <c r="AH58">
        <v>699122</v>
      </c>
      <c r="AI58">
        <v>1442924</v>
      </c>
      <c r="AJ58">
        <v>13074390</v>
      </c>
      <c r="AK58">
        <v>0</v>
      </c>
      <c r="AL58">
        <v>879</v>
      </c>
      <c r="AM58">
        <v>39</v>
      </c>
      <c r="AN58">
        <v>2676</v>
      </c>
      <c r="AO58">
        <v>40</v>
      </c>
      <c r="AP58">
        <v>3634</v>
      </c>
      <c r="AQ58">
        <v>0</v>
      </c>
      <c r="AR58">
        <v>12979090</v>
      </c>
      <c r="AS58">
        <v>616007</v>
      </c>
      <c r="AT58">
        <v>31408062</v>
      </c>
      <c r="AU58">
        <v>659792</v>
      </c>
      <c r="AV58">
        <v>45662951</v>
      </c>
      <c r="AW58">
        <v>6.85</v>
      </c>
      <c r="AX58">
        <v>7.87</v>
      </c>
      <c r="AY58">
        <v>7.61</v>
      </c>
      <c r="AZ58">
        <v>5.79</v>
      </c>
      <c r="BA58">
        <v>7.48</v>
      </c>
      <c r="BC58">
        <v>6.7</v>
      </c>
      <c r="BD58">
        <v>7.16</v>
      </c>
      <c r="BE58">
        <v>5.32</v>
      </c>
      <c r="BF58">
        <v>5.7</v>
      </c>
      <c r="BG58">
        <v>0.47260000000000002</v>
      </c>
      <c r="BH58">
        <v>8.1900000000000001E-2</v>
      </c>
      <c r="BI58">
        <v>0.31169999999999998</v>
      </c>
      <c r="BJ58">
        <v>6.9099999999999995E-2</v>
      </c>
      <c r="BK58">
        <v>0</v>
      </c>
      <c r="BL58">
        <v>0.2419</v>
      </c>
      <c r="BM58">
        <v>1.0699999999999999E-2</v>
      </c>
      <c r="BN58">
        <v>0.73640000000000005</v>
      </c>
      <c r="BO58">
        <v>-1.01</v>
      </c>
      <c r="BP58">
        <v>1.02</v>
      </c>
      <c r="BQ58">
        <v>0.77</v>
      </c>
      <c r="BR58">
        <v>-1.06</v>
      </c>
      <c r="BS58">
        <v>7917186.7999999998</v>
      </c>
      <c r="BT58">
        <v>1126867.26</v>
      </c>
      <c r="BU58">
        <v>9.75</v>
      </c>
      <c r="BV58">
        <v>4662.7700000000004</v>
      </c>
      <c r="BW58">
        <v>18.61</v>
      </c>
      <c r="BZ58" s="5">
        <v>333493.53999999998</v>
      </c>
      <c r="CA58" s="5">
        <v>4.28</v>
      </c>
      <c r="CB58" s="5">
        <v>598257.91</v>
      </c>
      <c r="CC58" s="5">
        <v>5.91</v>
      </c>
    </row>
    <row r="59" spans="1:81" x14ac:dyDescent="0.2">
      <c r="A59" s="2">
        <v>40087</v>
      </c>
      <c r="B59">
        <v>2009</v>
      </c>
      <c r="C59">
        <v>10</v>
      </c>
      <c r="E59">
        <v>3.85</v>
      </c>
      <c r="F59">
        <v>13.75</v>
      </c>
      <c r="G59">
        <v>13.5</v>
      </c>
      <c r="H59">
        <v>2.63</v>
      </c>
      <c r="I59">
        <v>3.23</v>
      </c>
      <c r="J59">
        <v>2.7703000000000002</v>
      </c>
      <c r="K59">
        <v>1.0547</v>
      </c>
      <c r="L59">
        <v>1.4821</v>
      </c>
      <c r="M59">
        <v>90.367099999999994</v>
      </c>
      <c r="N59">
        <v>6.8266999999999998</v>
      </c>
      <c r="O59">
        <v>1.4052337159999999</v>
      </c>
      <c r="P59">
        <v>85.680383050000003</v>
      </c>
      <c r="Q59">
        <v>6.4726462500000004</v>
      </c>
      <c r="R59">
        <v>15399962</v>
      </c>
      <c r="S59">
        <v>42661794</v>
      </c>
      <c r="T59">
        <v>7704.71</v>
      </c>
      <c r="U59">
        <v>719.4</v>
      </c>
      <c r="W59">
        <v>3400000</v>
      </c>
      <c r="X59">
        <v>26250000</v>
      </c>
      <c r="Y59">
        <v>243.6</v>
      </c>
      <c r="Z59">
        <v>39.51</v>
      </c>
      <c r="AA59">
        <v>181.38</v>
      </c>
      <c r="AB59">
        <v>49.34</v>
      </c>
      <c r="AC59">
        <v>55.52</v>
      </c>
      <c r="AD59">
        <v>569.35</v>
      </c>
      <c r="AE59">
        <v>3462478</v>
      </c>
      <c r="AF59">
        <v>775923</v>
      </c>
      <c r="AG59">
        <v>3060277</v>
      </c>
      <c r="AH59">
        <v>598639</v>
      </c>
      <c r="AI59">
        <v>1499520</v>
      </c>
      <c r="AJ59">
        <v>9396837</v>
      </c>
      <c r="AK59">
        <v>68</v>
      </c>
      <c r="AL59">
        <v>748</v>
      </c>
      <c r="AM59">
        <v>47</v>
      </c>
      <c r="AN59">
        <v>2910</v>
      </c>
      <c r="AO59">
        <v>40</v>
      </c>
      <c r="AP59">
        <v>3813</v>
      </c>
      <c r="AQ59">
        <v>1567804</v>
      </c>
      <c r="AR59">
        <v>11133547</v>
      </c>
      <c r="AS59">
        <v>719340</v>
      </c>
      <c r="AT59">
        <v>30108604</v>
      </c>
      <c r="AU59">
        <v>724915</v>
      </c>
      <c r="AV59">
        <v>44254210</v>
      </c>
      <c r="AW59">
        <v>6.45</v>
      </c>
      <c r="AX59">
        <v>8.91</v>
      </c>
      <c r="AY59">
        <v>7.65</v>
      </c>
      <c r="AZ59">
        <v>5.5</v>
      </c>
      <c r="BA59">
        <v>7.49</v>
      </c>
      <c r="BB59">
        <v>10.46</v>
      </c>
      <c r="BC59">
        <v>6.75</v>
      </c>
      <c r="BD59">
        <v>6.94</v>
      </c>
      <c r="BE59">
        <v>4.6900000000000004</v>
      </c>
      <c r="BF59">
        <v>5.26</v>
      </c>
      <c r="BG59">
        <v>0.4279</v>
      </c>
      <c r="BH59">
        <v>6.9400000000000003E-2</v>
      </c>
      <c r="BI59">
        <v>0.31859999999999999</v>
      </c>
      <c r="BJ59">
        <v>8.6699999999999999E-2</v>
      </c>
      <c r="BK59">
        <v>1.78E-2</v>
      </c>
      <c r="BL59">
        <v>0.19620000000000001</v>
      </c>
      <c r="BM59">
        <v>1.23E-2</v>
      </c>
      <c r="BN59">
        <v>0.76319999999999999</v>
      </c>
      <c r="BO59">
        <v>-1.42</v>
      </c>
      <c r="BP59">
        <v>2.46</v>
      </c>
      <c r="BQ59">
        <v>1.21</v>
      </c>
      <c r="BR59">
        <v>-0.94</v>
      </c>
      <c r="BS59">
        <v>3400000</v>
      </c>
      <c r="BT59">
        <v>1206401.1299999999</v>
      </c>
      <c r="BU59">
        <v>9.69</v>
      </c>
      <c r="BV59">
        <v>1215761.95</v>
      </c>
      <c r="BW59">
        <v>15.46</v>
      </c>
      <c r="BX59">
        <v>28479.281159999999</v>
      </c>
      <c r="BY59">
        <v>3.442572846</v>
      </c>
      <c r="BZ59" s="5">
        <v>368899.8</v>
      </c>
      <c r="CA59" s="5">
        <v>7.04</v>
      </c>
      <c r="CB59" s="5">
        <v>365211.47</v>
      </c>
      <c r="CC59" s="5">
        <v>6.85</v>
      </c>
    </row>
    <row r="60" spans="1:81" x14ac:dyDescent="0.2">
      <c r="A60" s="2">
        <v>40118</v>
      </c>
      <c r="B60">
        <v>2009</v>
      </c>
      <c r="C60">
        <v>11</v>
      </c>
      <c r="E60">
        <v>3.819</v>
      </c>
      <c r="F60">
        <v>13.75</v>
      </c>
      <c r="G60">
        <v>13.59</v>
      </c>
      <c r="I60">
        <v>3.56</v>
      </c>
      <c r="J60">
        <v>2.9668000000000001</v>
      </c>
      <c r="K60">
        <v>1.0592999999999999</v>
      </c>
      <c r="L60">
        <v>1.4907999999999999</v>
      </c>
      <c r="M60">
        <v>89.267399999999995</v>
      </c>
      <c r="N60">
        <v>6.8270999999999997</v>
      </c>
      <c r="O60">
        <v>1.407344473</v>
      </c>
      <c r="P60">
        <v>84.270178419999993</v>
      </c>
      <c r="Q60">
        <v>6.4449164540000003</v>
      </c>
      <c r="R60">
        <v>10482863</v>
      </c>
      <c r="S60">
        <v>31100673</v>
      </c>
      <c r="T60">
        <v>6130.45</v>
      </c>
      <c r="U60">
        <v>1375.5</v>
      </c>
      <c r="W60">
        <v>4843750</v>
      </c>
      <c r="X60">
        <v>26250000</v>
      </c>
      <c r="Y60">
        <v>763.66</v>
      </c>
      <c r="Z60">
        <v>45.25</v>
      </c>
      <c r="AA60">
        <v>163.56</v>
      </c>
      <c r="AB60">
        <v>66.89</v>
      </c>
      <c r="AC60">
        <v>59.22</v>
      </c>
      <c r="AD60">
        <v>1098.58</v>
      </c>
      <c r="AE60">
        <v>8489252</v>
      </c>
      <c r="AF60">
        <v>835450</v>
      </c>
      <c r="AG60">
        <v>2466460</v>
      </c>
      <c r="AH60">
        <v>703586</v>
      </c>
      <c r="AI60">
        <v>1706718</v>
      </c>
      <c r="AJ60">
        <v>14201466</v>
      </c>
      <c r="AK60">
        <v>33</v>
      </c>
      <c r="AL60">
        <v>750</v>
      </c>
      <c r="AM60">
        <v>48</v>
      </c>
      <c r="AN60">
        <v>2330</v>
      </c>
      <c r="AO60">
        <v>39</v>
      </c>
      <c r="AP60">
        <v>3200</v>
      </c>
      <c r="AQ60">
        <v>753763</v>
      </c>
      <c r="AR60">
        <v>11167791</v>
      </c>
      <c r="AS60">
        <v>716958</v>
      </c>
      <c r="AT60">
        <v>21020699</v>
      </c>
      <c r="AU60">
        <v>660195</v>
      </c>
      <c r="AV60">
        <v>34319406</v>
      </c>
      <c r="AW60">
        <v>5.04</v>
      </c>
      <c r="AX60">
        <v>8.3699999999999992</v>
      </c>
      <c r="AY60">
        <v>6.84</v>
      </c>
      <c r="AZ60">
        <v>4.7699999999999996</v>
      </c>
      <c r="BA60">
        <v>5.86</v>
      </c>
      <c r="BB60">
        <v>10.36</v>
      </c>
      <c r="BC60">
        <v>6.75</v>
      </c>
      <c r="BD60">
        <v>6.78</v>
      </c>
      <c r="BE60">
        <v>4.09</v>
      </c>
      <c r="BF60">
        <v>4.8600000000000003</v>
      </c>
      <c r="BG60">
        <v>0.69510000000000005</v>
      </c>
      <c r="BH60">
        <v>4.1200000000000001E-2</v>
      </c>
      <c r="BI60">
        <v>0.1489</v>
      </c>
      <c r="BJ60">
        <v>6.0900000000000003E-2</v>
      </c>
      <c r="BK60">
        <v>1.03E-2</v>
      </c>
      <c r="BL60">
        <v>0.2344</v>
      </c>
      <c r="BM60">
        <v>1.4999999999999999E-2</v>
      </c>
      <c r="BN60">
        <v>0.72809999999999997</v>
      </c>
      <c r="BO60">
        <v>-0.67</v>
      </c>
      <c r="BP60">
        <v>3.33</v>
      </c>
      <c r="BQ60">
        <v>1.8</v>
      </c>
      <c r="BR60">
        <v>-0.27</v>
      </c>
      <c r="BS60">
        <v>4843750</v>
      </c>
      <c r="BT60">
        <v>1065294.43</v>
      </c>
      <c r="BU60">
        <v>9.02</v>
      </c>
      <c r="BV60">
        <v>17590.66</v>
      </c>
      <c r="BW60">
        <v>20.329999999999998</v>
      </c>
      <c r="BX60">
        <v>17844.19428</v>
      </c>
      <c r="BY60">
        <v>4.5804814</v>
      </c>
      <c r="BZ60" s="5">
        <v>521600.91</v>
      </c>
      <c r="CA60" s="5">
        <v>5.28</v>
      </c>
      <c r="CB60" s="5">
        <v>376100.11</v>
      </c>
      <c r="CC60" s="5">
        <v>6.47</v>
      </c>
    </row>
    <row r="61" spans="1:81" x14ac:dyDescent="0.2">
      <c r="A61" s="2">
        <v>40148</v>
      </c>
      <c r="B61">
        <v>2009</v>
      </c>
      <c r="C61">
        <v>12</v>
      </c>
      <c r="E61">
        <v>4.5</v>
      </c>
      <c r="F61">
        <v>13.95</v>
      </c>
      <c r="G61">
        <v>13.95</v>
      </c>
      <c r="I61">
        <v>4.03</v>
      </c>
      <c r="J61">
        <v>3.2726000000000002</v>
      </c>
      <c r="K61">
        <v>1.0537000000000001</v>
      </c>
      <c r="L61">
        <v>1.4579</v>
      </c>
      <c r="M61">
        <v>89.950900000000004</v>
      </c>
      <c r="N61">
        <v>6.8274999999999997</v>
      </c>
      <c r="O61">
        <v>1.383600645</v>
      </c>
      <c r="P61">
        <v>85.366707790000007</v>
      </c>
      <c r="Q61">
        <v>6.4795482590000004</v>
      </c>
      <c r="R61">
        <v>4469517</v>
      </c>
      <c r="S61">
        <v>14626865</v>
      </c>
      <c r="T61">
        <v>15718.74</v>
      </c>
      <c r="U61">
        <v>13691.4</v>
      </c>
      <c r="W61">
        <v>19187500</v>
      </c>
      <c r="X61">
        <v>26250000</v>
      </c>
      <c r="Y61">
        <v>4305.04</v>
      </c>
      <c r="Z61">
        <v>72.86</v>
      </c>
      <c r="AA61">
        <v>936.82</v>
      </c>
      <c r="AB61">
        <v>132.88</v>
      </c>
      <c r="AC61">
        <v>82.43</v>
      </c>
      <c r="AD61">
        <v>5530.03</v>
      </c>
      <c r="AE61">
        <v>49991631</v>
      </c>
      <c r="AF61">
        <v>1335676</v>
      </c>
      <c r="AG61">
        <v>13983080</v>
      </c>
      <c r="AH61">
        <v>930422</v>
      </c>
      <c r="AI61">
        <v>2869803</v>
      </c>
      <c r="AJ61">
        <v>69110612</v>
      </c>
      <c r="AK61">
        <v>23</v>
      </c>
      <c r="AL61">
        <v>1952</v>
      </c>
      <c r="AM61">
        <v>37</v>
      </c>
      <c r="AN61">
        <v>835</v>
      </c>
      <c r="AO61">
        <v>83</v>
      </c>
      <c r="AP61">
        <v>2930</v>
      </c>
      <c r="AQ61">
        <v>551163</v>
      </c>
      <c r="AR61">
        <v>30575442</v>
      </c>
      <c r="AS61">
        <v>589201</v>
      </c>
      <c r="AT61">
        <v>7441419</v>
      </c>
      <c r="AU61">
        <v>1355561</v>
      </c>
      <c r="AV61">
        <v>40512786</v>
      </c>
      <c r="AW61">
        <v>5.27</v>
      </c>
      <c r="AX61">
        <v>8.32</v>
      </c>
      <c r="AY61">
        <v>6.77</v>
      </c>
      <c r="AZ61">
        <v>3.18</v>
      </c>
      <c r="BA61">
        <v>5.67</v>
      </c>
      <c r="BB61">
        <v>10.87</v>
      </c>
      <c r="BC61">
        <v>7.1</v>
      </c>
      <c r="BD61">
        <v>7.22</v>
      </c>
      <c r="BE61">
        <v>4.04</v>
      </c>
      <c r="BF61">
        <v>6.27</v>
      </c>
      <c r="BG61">
        <v>0.77849999999999997</v>
      </c>
      <c r="BH61">
        <v>1.32E-2</v>
      </c>
      <c r="BI61">
        <v>0.1694</v>
      </c>
      <c r="BJ61">
        <v>2.4E-2</v>
      </c>
      <c r="BK61">
        <v>7.7999999999999996E-3</v>
      </c>
      <c r="BL61">
        <v>0.66620000000000001</v>
      </c>
      <c r="BM61">
        <v>1.26E-2</v>
      </c>
      <c r="BN61">
        <v>0.28499999999999998</v>
      </c>
      <c r="BO61">
        <v>-0.96</v>
      </c>
      <c r="BP61">
        <v>3.05</v>
      </c>
      <c r="BQ61">
        <v>1.5</v>
      </c>
      <c r="BR61">
        <v>-2.09</v>
      </c>
      <c r="BS61">
        <v>19187500</v>
      </c>
      <c r="BT61">
        <v>886658.48</v>
      </c>
      <c r="BU61">
        <v>9.41</v>
      </c>
      <c r="BV61">
        <v>694563.33</v>
      </c>
      <c r="BW61">
        <v>15.55</v>
      </c>
      <c r="BZ61" s="5">
        <v>99613.75</v>
      </c>
      <c r="CA61" s="5">
        <v>9.8800000000000008</v>
      </c>
      <c r="CB61" s="5">
        <v>154440.54999999999</v>
      </c>
      <c r="CC61" s="5">
        <v>4.9000000000000004</v>
      </c>
    </row>
    <row r="62" spans="1:81" x14ac:dyDescent="0.2">
      <c r="A62" s="2">
        <v>40179</v>
      </c>
      <c r="B62">
        <v>2010</v>
      </c>
      <c r="C62">
        <v>1</v>
      </c>
      <c r="E62">
        <v>4.9630000000000001</v>
      </c>
      <c r="F62">
        <v>14.16</v>
      </c>
      <c r="G62">
        <v>14.44</v>
      </c>
      <c r="I62">
        <v>4.32</v>
      </c>
      <c r="J62">
        <v>3.7271999999999998</v>
      </c>
      <c r="K62">
        <v>1.0438000000000001</v>
      </c>
      <c r="L62">
        <v>1.4266000000000001</v>
      </c>
      <c r="M62">
        <v>91.101100000000002</v>
      </c>
      <c r="N62">
        <v>6.8269000000000002</v>
      </c>
      <c r="O62">
        <v>1.3667369229999999</v>
      </c>
      <c r="P62">
        <v>87.278310020000006</v>
      </c>
      <c r="Q62">
        <v>6.5404292010000002</v>
      </c>
      <c r="R62">
        <v>1283629</v>
      </c>
      <c r="S62">
        <v>4784279</v>
      </c>
      <c r="T62">
        <v>6563.85</v>
      </c>
      <c r="U62">
        <v>5981.6</v>
      </c>
      <c r="W62">
        <v>15000000</v>
      </c>
      <c r="X62">
        <v>26250000</v>
      </c>
      <c r="Y62">
        <v>1156.44</v>
      </c>
      <c r="Z62">
        <v>43.46</v>
      </c>
      <c r="AA62">
        <v>142.12</v>
      </c>
      <c r="AB62">
        <v>61.14</v>
      </c>
      <c r="AC62">
        <v>37.19</v>
      </c>
      <c r="AD62">
        <v>1440.35</v>
      </c>
      <c r="AE62">
        <v>13697891</v>
      </c>
      <c r="AF62">
        <v>797612</v>
      </c>
      <c r="AG62">
        <v>2254171</v>
      </c>
      <c r="AH62">
        <v>429776</v>
      </c>
      <c r="AI62">
        <v>1404652</v>
      </c>
      <c r="AJ62">
        <v>18584102</v>
      </c>
      <c r="AK62">
        <v>30</v>
      </c>
      <c r="AL62">
        <v>513</v>
      </c>
      <c r="AM62">
        <v>10</v>
      </c>
      <c r="AN62">
        <v>98</v>
      </c>
      <c r="AO62">
        <v>42</v>
      </c>
      <c r="AP62">
        <v>693</v>
      </c>
      <c r="AQ62">
        <v>721975</v>
      </c>
      <c r="AR62">
        <v>7909995</v>
      </c>
      <c r="AS62">
        <v>161974</v>
      </c>
      <c r="AT62">
        <v>907022</v>
      </c>
      <c r="AU62">
        <v>661132</v>
      </c>
      <c r="AV62">
        <v>10362098</v>
      </c>
      <c r="AW62">
        <v>5.37</v>
      </c>
      <c r="AX62">
        <v>8.32</v>
      </c>
      <c r="AY62">
        <v>7.19</v>
      </c>
      <c r="AZ62">
        <v>3.19</v>
      </c>
      <c r="BA62">
        <v>5.85</v>
      </c>
      <c r="BB62">
        <v>10.92</v>
      </c>
      <c r="BC62">
        <v>6.99</v>
      </c>
      <c r="BD62">
        <v>7.35</v>
      </c>
      <c r="BE62">
        <v>4.2</v>
      </c>
      <c r="BF62">
        <v>6.78</v>
      </c>
      <c r="BG62">
        <v>0.80289999999999995</v>
      </c>
      <c r="BH62">
        <v>3.0200000000000001E-2</v>
      </c>
      <c r="BI62">
        <v>9.8699999999999996E-2</v>
      </c>
      <c r="BJ62">
        <v>4.24E-2</v>
      </c>
      <c r="BK62">
        <v>4.3299999999999998E-2</v>
      </c>
      <c r="BL62">
        <v>0.74029999999999996</v>
      </c>
      <c r="BM62">
        <v>1.44E-2</v>
      </c>
      <c r="BN62">
        <v>0.1414</v>
      </c>
      <c r="BO62">
        <v>-0.95</v>
      </c>
      <c r="BP62">
        <v>2.95</v>
      </c>
      <c r="BQ62">
        <v>1.82</v>
      </c>
      <c r="BR62">
        <v>-2.1800000000000002</v>
      </c>
      <c r="BS62">
        <v>15000000</v>
      </c>
      <c r="BT62">
        <v>692510.83</v>
      </c>
      <c r="BU62">
        <v>8.5500000000000007</v>
      </c>
      <c r="BV62">
        <v>324224.64000000001</v>
      </c>
      <c r="BW62">
        <v>14.44</v>
      </c>
      <c r="BX62">
        <v>17841.989659999999</v>
      </c>
      <c r="BY62">
        <v>6.7287899099999997</v>
      </c>
      <c r="BZ62" s="5">
        <v>60671.26</v>
      </c>
      <c r="CA62" s="5">
        <v>8.5399999999999991</v>
      </c>
      <c r="CB62" s="5">
        <v>57701.63</v>
      </c>
      <c r="CC62" s="5">
        <v>7.64</v>
      </c>
    </row>
    <row r="63" spans="1:81" x14ac:dyDescent="0.2">
      <c r="A63" s="2">
        <v>40210</v>
      </c>
      <c r="B63">
        <v>2010</v>
      </c>
      <c r="C63">
        <v>2</v>
      </c>
      <c r="E63">
        <v>5.9809999999999999</v>
      </c>
      <c r="F63">
        <v>14.5</v>
      </c>
      <c r="G63">
        <v>14.97</v>
      </c>
      <c r="I63">
        <v>4.79</v>
      </c>
      <c r="J63">
        <v>4.6691000000000003</v>
      </c>
      <c r="K63">
        <v>1.0571999999999999</v>
      </c>
      <c r="L63">
        <v>1.3680000000000001</v>
      </c>
      <c r="M63">
        <v>90.139499999999998</v>
      </c>
      <c r="N63">
        <v>6.8285</v>
      </c>
      <c r="O63">
        <v>1.2939841089999999</v>
      </c>
      <c r="P63">
        <v>85.262485810000001</v>
      </c>
      <c r="Q63">
        <v>6.4590427540000004</v>
      </c>
      <c r="R63">
        <v>349065</v>
      </c>
      <c r="S63">
        <v>1629824</v>
      </c>
      <c r="T63">
        <v>253.23</v>
      </c>
      <c r="U63">
        <v>94.9</v>
      </c>
      <c r="W63">
        <v>11500000</v>
      </c>
      <c r="X63">
        <v>26250000</v>
      </c>
      <c r="Y63">
        <v>2089.44</v>
      </c>
      <c r="Z63">
        <v>59.43</v>
      </c>
      <c r="AA63">
        <v>155.86000000000001</v>
      </c>
      <c r="AB63">
        <v>58.73</v>
      </c>
      <c r="AC63">
        <v>42.13</v>
      </c>
      <c r="AD63">
        <v>2405.59</v>
      </c>
      <c r="AE63">
        <v>26142563</v>
      </c>
      <c r="AF63">
        <v>1156989</v>
      </c>
      <c r="AG63">
        <v>2554787</v>
      </c>
      <c r="AH63">
        <v>444383</v>
      </c>
      <c r="AI63">
        <v>1530591</v>
      </c>
      <c r="AJ63">
        <v>31829313</v>
      </c>
      <c r="AK63">
        <v>22</v>
      </c>
      <c r="AL63">
        <v>569</v>
      </c>
      <c r="AM63">
        <v>10</v>
      </c>
      <c r="AN63">
        <v>6</v>
      </c>
      <c r="AO63">
        <v>37</v>
      </c>
      <c r="AP63">
        <v>644</v>
      </c>
      <c r="AQ63">
        <v>534125</v>
      </c>
      <c r="AR63">
        <v>8673133</v>
      </c>
      <c r="AS63">
        <v>174832</v>
      </c>
      <c r="AT63">
        <v>64963</v>
      </c>
      <c r="AU63">
        <v>587467</v>
      </c>
      <c r="AV63">
        <v>10034520</v>
      </c>
      <c r="AW63">
        <v>5.68</v>
      </c>
      <c r="AX63">
        <v>8.83</v>
      </c>
      <c r="AY63">
        <v>7.44</v>
      </c>
      <c r="AZ63">
        <v>3.43</v>
      </c>
      <c r="BA63">
        <v>6</v>
      </c>
      <c r="BB63">
        <v>11.01</v>
      </c>
      <c r="BC63">
        <v>6.91</v>
      </c>
      <c r="BD63">
        <v>7.93</v>
      </c>
      <c r="BE63">
        <v>4.91</v>
      </c>
      <c r="BF63">
        <v>7.07</v>
      </c>
      <c r="BG63">
        <v>0.86860000000000004</v>
      </c>
      <c r="BH63">
        <v>2.47E-2</v>
      </c>
      <c r="BI63">
        <v>6.4799999999999996E-2</v>
      </c>
      <c r="BJ63">
        <v>2.4400000000000002E-2</v>
      </c>
      <c r="BK63">
        <v>3.4200000000000001E-2</v>
      </c>
      <c r="BL63">
        <v>0.88349999999999995</v>
      </c>
      <c r="BM63">
        <v>1.55E-2</v>
      </c>
      <c r="BN63">
        <v>9.2999999999999992E-3</v>
      </c>
      <c r="BO63">
        <v>-0.46</v>
      </c>
      <c r="BP63">
        <v>3.15</v>
      </c>
      <c r="BQ63">
        <v>1.76</v>
      </c>
      <c r="BR63">
        <v>-2.2400000000000002</v>
      </c>
      <c r="BS63">
        <v>11500000</v>
      </c>
      <c r="BT63">
        <v>182990.07</v>
      </c>
      <c r="BU63">
        <v>7.92</v>
      </c>
      <c r="BV63">
        <v>14524.04</v>
      </c>
      <c r="BW63">
        <v>7.43</v>
      </c>
      <c r="BX63">
        <v>2548.54072</v>
      </c>
      <c r="BY63">
        <v>10.7496811</v>
      </c>
      <c r="BZ63" s="5">
        <v>70197.45</v>
      </c>
      <c r="CA63" s="5">
        <v>9.14</v>
      </c>
      <c r="CB63" s="5">
        <v>28252.26</v>
      </c>
      <c r="CC63" s="5">
        <v>16.12</v>
      </c>
    </row>
    <row r="64" spans="1:81" x14ac:dyDescent="0.2">
      <c r="A64" s="2">
        <v>40238</v>
      </c>
      <c r="B64">
        <v>2010</v>
      </c>
      <c r="C64">
        <v>3</v>
      </c>
      <c r="E64">
        <v>5.6609999999999996</v>
      </c>
      <c r="F64">
        <v>14.78</v>
      </c>
      <c r="G64">
        <v>15</v>
      </c>
      <c r="I64">
        <v>4.3499999999999996</v>
      </c>
      <c r="J64">
        <v>4.6371000000000002</v>
      </c>
      <c r="K64">
        <v>1.0228999999999999</v>
      </c>
      <c r="L64">
        <v>1.357</v>
      </c>
      <c r="M64">
        <v>90.716099999999997</v>
      </c>
      <c r="N64">
        <v>6.8262</v>
      </c>
      <c r="O64">
        <v>1.326620393</v>
      </c>
      <c r="P64">
        <v>88.685208720000006</v>
      </c>
      <c r="Q64">
        <v>6.6733796070000002</v>
      </c>
      <c r="R64">
        <v>372948</v>
      </c>
      <c r="S64">
        <v>1729399</v>
      </c>
      <c r="T64">
        <v>264.07</v>
      </c>
      <c r="U64">
        <v>94.9</v>
      </c>
      <c r="W64">
        <v>6062500</v>
      </c>
      <c r="X64">
        <v>26250000</v>
      </c>
      <c r="Y64">
        <v>1915.98</v>
      </c>
      <c r="Z64">
        <v>48.29</v>
      </c>
      <c r="AA64">
        <v>193.4</v>
      </c>
      <c r="AB64">
        <v>85.12</v>
      </c>
      <c r="AC64">
        <v>72.73</v>
      </c>
      <c r="AD64">
        <v>2315.52</v>
      </c>
      <c r="AE64">
        <v>22271379</v>
      </c>
      <c r="AF64">
        <v>947298</v>
      </c>
      <c r="AG64">
        <v>2985929</v>
      </c>
      <c r="AH64">
        <v>939183</v>
      </c>
      <c r="AI64">
        <v>2055766</v>
      </c>
      <c r="AJ64">
        <v>29199555</v>
      </c>
      <c r="AK64">
        <v>9</v>
      </c>
      <c r="AL64">
        <v>696</v>
      </c>
      <c r="AM64">
        <v>17</v>
      </c>
      <c r="AN64">
        <v>6</v>
      </c>
      <c r="AO64">
        <v>37</v>
      </c>
      <c r="AP64">
        <v>765</v>
      </c>
      <c r="AQ64">
        <v>221225</v>
      </c>
      <c r="AR64">
        <v>10437755</v>
      </c>
      <c r="AS64">
        <v>266066</v>
      </c>
      <c r="AT64">
        <v>58987</v>
      </c>
      <c r="AU64">
        <v>673549</v>
      </c>
      <c r="AV64">
        <v>11657582</v>
      </c>
      <c r="AW64">
        <v>5.27</v>
      </c>
      <c r="AX64">
        <v>8.9</v>
      </c>
      <c r="AY64">
        <v>7</v>
      </c>
      <c r="AZ64">
        <v>5</v>
      </c>
      <c r="BA64">
        <v>5.72</v>
      </c>
      <c r="BB64">
        <v>11.15</v>
      </c>
      <c r="BC64">
        <v>6.8</v>
      </c>
      <c r="BD64">
        <v>7.1</v>
      </c>
      <c r="BE64">
        <v>4.46</v>
      </c>
      <c r="BF64">
        <v>6.91</v>
      </c>
      <c r="BG64">
        <v>0.82750000000000001</v>
      </c>
      <c r="BH64">
        <v>2.0899999999999998E-2</v>
      </c>
      <c r="BI64">
        <v>8.3500000000000005E-2</v>
      </c>
      <c r="BJ64">
        <v>3.6799999999999999E-2</v>
      </c>
      <c r="BK64">
        <v>1.18E-2</v>
      </c>
      <c r="BL64">
        <v>0.90980000000000005</v>
      </c>
      <c r="BM64">
        <v>2.2200000000000001E-2</v>
      </c>
      <c r="BN64">
        <v>7.7999999999999996E-3</v>
      </c>
      <c r="BO64">
        <v>-0.7</v>
      </c>
      <c r="BP64">
        <v>3.63</v>
      </c>
      <c r="BQ64">
        <v>1.73</v>
      </c>
      <c r="BR64">
        <v>-0.27</v>
      </c>
      <c r="BS64">
        <v>6062500</v>
      </c>
      <c r="BT64">
        <v>255160.51</v>
      </c>
      <c r="BU64">
        <v>5.07</v>
      </c>
      <c r="BV64">
        <v>4327.67</v>
      </c>
      <c r="BW64">
        <v>3.83</v>
      </c>
      <c r="BX64">
        <v>72.752459999999999</v>
      </c>
      <c r="BY64">
        <v>13.387863449999999</v>
      </c>
      <c r="BZ64" s="5">
        <v>19477.86</v>
      </c>
      <c r="CA64" s="5">
        <v>13.16</v>
      </c>
      <c r="CB64" s="5">
        <v>8441.51</v>
      </c>
      <c r="CC64" s="5">
        <v>6.66</v>
      </c>
    </row>
    <row r="65" spans="1:81" x14ac:dyDescent="0.2">
      <c r="A65" s="2">
        <v>40269</v>
      </c>
      <c r="B65">
        <v>2010</v>
      </c>
      <c r="C65">
        <v>4</v>
      </c>
      <c r="E65">
        <v>5.0110000000000001</v>
      </c>
      <c r="F65">
        <v>15</v>
      </c>
      <c r="G65">
        <v>15</v>
      </c>
      <c r="I65">
        <v>3.91</v>
      </c>
      <c r="J65">
        <v>4.1894</v>
      </c>
      <c r="K65">
        <v>1.0052000000000001</v>
      </c>
      <c r="L65">
        <v>1.3416999999999999</v>
      </c>
      <c r="M65">
        <v>93.452699999999993</v>
      </c>
      <c r="N65">
        <v>6.8255999999999997</v>
      </c>
      <c r="O65">
        <v>1.334759252</v>
      </c>
      <c r="P65">
        <v>92.96925985</v>
      </c>
      <c r="Q65">
        <v>6.7902904890000002</v>
      </c>
      <c r="R65">
        <v>1141694</v>
      </c>
      <c r="S65">
        <v>4783064</v>
      </c>
      <c r="T65">
        <v>2125.11</v>
      </c>
      <c r="U65">
        <v>1607.25</v>
      </c>
      <c r="W65">
        <v>2593750</v>
      </c>
      <c r="X65">
        <v>26250000</v>
      </c>
      <c r="Y65">
        <v>1818.33</v>
      </c>
      <c r="Z65">
        <v>48.84</v>
      </c>
      <c r="AA65">
        <v>129.33000000000001</v>
      </c>
      <c r="AB65">
        <v>56.74</v>
      </c>
      <c r="AC65">
        <v>48.61</v>
      </c>
      <c r="AD65">
        <v>2101.85</v>
      </c>
      <c r="AE65">
        <v>19875196</v>
      </c>
      <c r="AF65">
        <v>928923</v>
      </c>
      <c r="AG65">
        <v>2114910</v>
      </c>
      <c r="AH65">
        <v>663834</v>
      </c>
      <c r="AI65">
        <v>1282994</v>
      </c>
      <c r="AJ65">
        <v>24865857</v>
      </c>
      <c r="AK65">
        <v>1</v>
      </c>
      <c r="AL65">
        <v>616</v>
      </c>
      <c r="AM65">
        <v>17</v>
      </c>
      <c r="AN65">
        <v>3</v>
      </c>
      <c r="AO65">
        <v>38</v>
      </c>
      <c r="AP65">
        <v>675</v>
      </c>
      <c r="AQ65">
        <v>9600</v>
      </c>
      <c r="AR65">
        <v>9231634</v>
      </c>
      <c r="AS65">
        <v>264293</v>
      </c>
      <c r="AT65">
        <v>37113</v>
      </c>
      <c r="AU65">
        <v>605607</v>
      </c>
      <c r="AV65">
        <v>10148247</v>
      </c>
      <c r="AW65">
        <v>4.96</v>
      </c>
      <c r="AX65">
        <v>8.6300000000000008</v>
      </c>
      <c r="AY65">
        <v>7.42</v>
      </c>
      <c r="AZ65">
        <v>5.31</v>
      </c>
      <c r="BA65">
        <v>5.37</v>
      </c>
      <c r="BB65">
        <v>4.3499999999999996</v>
      </c>
      <c r="BC65">
        <v>6.8</v>
      </c>
      <c r="BD65">
        <v>7.05</v>
      </c>
      <c r="BE65">
        <v>5.61</v>
      </c>
      <c r="BF65">
        <v>6.82</v>
      </c>
      <c r="BG65">
        <v>0.86509999999999998</v>
      </c>
      <c r="BH65">
        <v>2.3199999999999998E-2</v>
      </c>
      <c r="BI65">
        <v>6.1499999999999999E-2</v>
      </c>
      <c r="BJ65">
        <v>2.7E-2</v>
      </c>
      <c r="BK65">
        <v>1.5E-3</v>
      </c>
      <c r="BL65">
        <v>0.91259999999999997</v>
      </c>
      <c r="BM65">
        <v>2.52E-2</v>
      </c>
      <c r="BN65">
        <v>4.4000000000000003E-3</v>
      </c>
      <c r="BO65">
        <v>0.68</v>
      </c>
      <c r="BP65">
        <v>3.67</v>
      </c>
      <c r="BQ65">
        <v>2.46</v>
      </c>
      <c r="BR65">
        <v>0.35</v>
      </c>
      <c r="BS65">
        <v>2593750</v>
      </c>
      <c r="BT65">
        <v>273205.33</v>
      </c>
      <c r="BU65">
        <v>7.91</v>
      </c>
      <c r="BV65">
        <v>312736.37</v>
      </c>
      <c r="BW65">
        <v>14.93</v>
      </c>
      <c r="BZ65" s="5">
        <v>11320.75</v>
      </c>
      <c r="CA65" s="5">
        <v>18.03</v>
      </c>
      <c r="CB65" s="5">
        <v>4814.8999999999996</v>
      </c>
      <c r="CC65" s="5">
        <v>11.29</v>
      </c>
    </row>
    <row r="66" spans="1:81" x14ac:dyDescent="0.2">
      <c r="A66" s="2">
        <v>40299</v>
      </c>
      <c r="B66">
        <v>2010</v>
      </c>
      <c r="C66">
        <v>5</v>
      </c>
      <c r="E66">
        <v>4.8250000000000002</v>
      </c>
      <c r="F66">
        <v>14.75</v>
      </c>
      <c r="G66">
        <v>15</v>
      </c>
      <c r="H66">
        <v>2.75</v>
      </c>
      <c r="I66">
        <v>3.48</v>
      </c>
      <c r="J66">
        <v>3.8704000000000001</v>
      </c>
      <c r="K66">
        <v>1.0403</v>
      </c>
      <c r="L66">
        <v>1.2563</v>
      </c>
      <c r="M66">
        <v>91.972999999999999</v>
      </c>
      <c r="N66">
        <v>6.8274999999999997</v>
      </c>
      <c r="O66">
        <v>1.2076324140000001</v>
      </c>
      <c r="P66">
        <v>88.410074019999996</v>
      </c>
      <c r="Q66">
        <v>6.5630106699999997</v>
      </c>
      <c r="R66">
        <v>2535678</v>
      </c>
      <c r="S66">
        <v>9814060</v>
      </c>
      <c r="T66">
        <v>20044.97</v>
      </c>
      <c r="U66">
        <v>18894.8</v>
      </c>
      <c r="W66">
        <v>4516667.5</v>
      </c>
      <c r="X66">
        <v>26250000</v>
      </c>
      <c r="Y66">
        <v>3948.64</v>
      </c>
      <c r="Z66">
        <v>111.13</v>
      </c>
      <c r="AA66">
        <v>278.08</v>
      </c>
      <c r="AB66">
        <v>63.09</v>
      </c>
      <c r="AC66">
        <v>52.81</v>
      </c>
      <c r="AD66">
        <v>4453.75</v>
      </c>
      <c r="AE66">
        <v>41831037</v>
      </c>
      <c r="AF66">
        <v>1877126</v>
      </c>
      <c r="AG66">
        <v>3908811</v>
      </c>
      <c r="AH66">
        <v>610526</v>
      </c>
      <c r="AI66">
        <v>1316955</v>
      </c>
      <c r="AJ66">
        <v>49544455</v>
      </c>
      <c r="AK66">
        <v>0</v>
      </c>
      <c r="AL66">
        <v>755</v>
      </c>
      <c r="AM66">
        <v>15</v>
      </c>
      <c r="AN66">
        <v>102</v>
      </c>
      <c r="AO66">
        <v>58</v>
      </c>
      <c r="AP66">
        <v>930</v>
      </c>
      <c r="AQ66">
        <v>0</v>
      </c>
      <c r="AR66">
        <v>10993619</v>
      </c>
      <c r="AS66">
        <v>215896</v>
      </c>
      <c r="AT66">
        <v>1043985</v>
      </c>
      <c r="AU66">
        <v>919110</v>
      </c>
      <c r="AV66">
        <v>13172610</v>
      </c>
      <c r="AW66">
        <v>4.8099999999999996</v>
      </c>
      <c r="AX66">
        <v>7.66</v>
      </c>
      <c r="AY66">
        <v>6.38</v>
      </c>
      <c r="AZ66">
        <v>4.3899999999999997</v>
      </c>
      <c r="BA66">
        <v>5.05</v>
      </c>
      <c r="BC66">
        <v>6.6</v>
      </c>
      <c r="BD66">
        <v>6.53</v>
      </c>
      <c r="BE66">
        <v>4.6399999999999997</v>
      </c>
      <c r="BF66">
        <v>6.42</v>
      </c>
      <c r="BG66">
        <v>0.88660000000000005</v>
      </c>
      <c r="BH66">
        <v>2.5000000000000001E-2</v>
      </c>
      <c r="BI66">
        <v>6.2399999999999997E-2</v>
      </c>
      <c r="BJ66">
        <v>1.4200000000000001E-2</v>
      </c>
      <c r="BK66">
        <v>0</v>
      </c>
      <c r="BL66">
        <v>0.81179999999999997</v>
      </c>
      <c r="BM66">
        <v>1.61E-2</v>
      </c>
      <c r="BN66">
        <v>0.10970000000000001</v>
      </c>
      <c r="BO66">
        <v>0.02</v>
      </c>
      <c r="BP66">
        <v>2.85</v>
      </c>
      <c r="BQ66">
        <v>1.57</v>
      </c>
      <c r="BR66">
        <v>-0.42</v>
      </c>
      <c r="BS66">
        <v>4516667.5</v>
      </c>
      <c r="BT66">
        <v>2459604.14</v>
      </c>
      <c r="BU66">
        <v>10.130000000000001</v>
      </c>
      <c r="BV66">
        <v>542728.93999999994</v>
      </c>
      <c r="BW66">
        <v>13.53</v>
      </c>
      <c r="BX66">
        <v>33029.616840000002</v>
      </c>
      <c r="BY66">
        <v>4.7917600970000001</v>
      </c>
      <c r="BZ66" s="5">
        <v>252411.86</v>
      </c>
      <c r="CA66" s="5">
        <v>5.86</v>
      </c>
      <c r="CB66" s="5">
        <v>298905.18</v>
      </c>
      <c r="CC66" s="5">
        <v>6.69</v>
      </c>
    </row>
    <row r="67" spans="1:81" x14ac:dyDescent="0.2">
      <c r="A67" s="2">
        <v>40330</v>
      </c>
      <c r="B67">
        <v>2010</v>
      </c>
      <c r="C67">
        <v>6</v>
      </c>
      <c r="E67">
        <v>5.5720000000000001</v>
      </c>
      <c r="F67">
        <v>14.89</v>
      </c>
      <c r="G67">
        <v>15.08</v>
      </c>
      <c r="H67">
        <v>2.85</v>
      </c>
      <c r="I67">
        <v>3.84</v>
      </c>
      <c r="J67">
        <v>3.7282000000000002</v>
      </c>
      <c r="K67">
        <v>1.0376000000000001</v>
      </c>
      <c r="L67">
        <v>1.2222999999999999</v>
      </c>
      <c r="M67">
        <v>90.805899999999994</v>
      </c>
      <c r="N67">
        <v>6.8183999999999996</v>
      </c>
      <c r="O67">
        <v>1.1780069390000001</v>
      </c>
      <c r="P67">
        <v>87.515323820000006</v>
      </c>
      <c r="Q67">
        <v>6.5713184269999996</v>
      </c>
      <c r="R67">
        <v>4783134</v>
      </c>
      <c r="S67">
        <v>17832468</v>
      </c>
      <c r="T67">
        <v>13782.5</v>
      </c>
      <c r="U67">
        <v>11612.9</v>
      </c>
      <c r="W67">
        <v>20000000</v>
      </c>
      <c r="X67">
        <v>26250000</v>
      </c>
      <c r="Y67">
        <v>2674.82</v>
      </c>
      <c r="Z67">
        <v>117.27</v>
      </c>
      <c r="AA67">
        <v>274.01</v>
      </c>
      <c r="AB67">
        <v>55.92</v>
      </c>
      <c r="AC67">
        <v>61.41</v>
      </c>
      <c r="AD67">
        <v>3183.43</v>
      </c>
      <c r="AE67">
        <v>31555391</v>
      </c>
      <c r="AF67">
        <v>2034092</v>
      </c>
      <c r="AG67">
        <v>3960758</v>
      </c>
      <c r="AH67">
        <v>727033</v>
      </c>
      <c r="AI67">
        <v>1230192</v>
      </c>
      <c r="AJ67">
        <v>39507466</v>
      </c>
      <c r="AK67">
        <v>4</v>
      </c>
      <c r="AL67">
        <v>733</v>
      </c>
      <c r="AM67">
        <v>9</v>
      </c>
      <c r="AN67">
        <v>239</v>
      </c>
      <c r="AO67">
        <v>44</v>
      </c>
      <c r="AP67">
        <v>1029</v>
      </c>
      <c r="AQ67">
        <v>63188</v>
      </c>
      <c r="AR67">
        <v>10604772</v>
      </c>
      <c r="AS67">
        <v>133030</v>
      </c>
      <c r="AT67">
        <v>2206092</v>
      </c>
      <c r="AU67">
        <v>652599</v>
      </c>
      <c r="AV67">
        <v>13659681</v>
      </c>
      <c r="AW67">
        <v>5.35</v>
      </c>
      <c r="AX67">
        <v>7.87</v>
      </c>
      <c r="AY67">
        <v>6.56</v>
      </c>
      <c r="AZ67">
        <v>5.9</v>
      </c>
      <c r="BA67">
        <v>5.63</v>
      </c>
      <c r="BB67">
        <v>7.17</v>
      </c>
      <c r="BC67">
        <v>6.56</v>
      </c>
      <c r="BD67">
        <v>6.7</v>
      </c>
      <c r="BE67">
        <v>4.1900000000000004</v>
      </c>
      <c r="BF67">
        <v>6.02</v>
      </c>
      <c r="BG67">
        <v>0.84019999999999995</v>
      </c>
      <c r="BH67">
        <v>3.6799999999999999E-2</v>
      </c>
      <c r="BI67">
        <v>8.6099999999999996E-2</v>
      </c>
      <c r="BJ67">
        <v>1.7600000000000001E-2</v>
      </c>
      <c r="BK67">
        <v>3.8999999999999998E-3</v>
      </c>
      <c r="BL67">
        <v>0.71230000000000004</v>
      </c>
      <c r="BM67">
        <v>8.6999999999999994E-3</v>
      </c>
      <c r="BN67">
        <v>0.23230000000000001</v>
      </c>
      <c r="BO67">
        <v>-0.97</v>
      </c>
      <c r="BP67">
        <v>2.52</v>
      </c>
      <c r="BQ67">
        <v>1.21</v>
      </c>
      <c r="BR67">
        <v>0.55000000000000004</v>
      </c>
      <c r="BS67">
        <v>20000000</v>
      </c>
      <c r="BT67">
        <v>2347957.7799999998</v>
      </c>
      <c r="BU67">
        <v>11.93</v>
      </c>
      <c r="BV67">
        <v>6530.08</v>
      </c>
      <c r="BW67">
        <v>13.05</v>
      </c>
      <c r="BX67">
        <v>13086.624320000001</v>
      </c>
      <c r="BY67">
        <v>10.91114076</v>
      </c>
      <c r="BZ67" s="5">
        <v>251091.29</v>
      </c>
      <c r="CA67" s="5">
        <v>6.65</v>
      </c>
      <c r="CB67" s="5">
        <v>1139537.29</v>
      </c>
      <c r="CC67" s="5">
        <v>6.3</v>
      </c>
    </row>
    <row r="68" spans="1:81" x14ac:dyDescent="0.2">
      <c r="A68" s="2">
        <v>40360</v>
      </c>
      <c r="B68">
        <v>2010</v>
      </c>
      <c r="C68">
        <v>7</v>
      </c>
      <c r="E68">
        <v>6.0780000000000003</v>
      </c>
      <c r="F68">
        <v>15</v>
      </c>
      <c r="G68">
        <v>15.47</v>
      </c>
      <c r="H68">
        <v>3.25</v>
      </c>
      <c r="I68">
        <v>4.42</v>
      </c>
      <c r="J68">
        <v>2.9983</v>
      </c>
      <c r="K68">
        <v>1.0422</v>
      </c>
      <c r="L68">
        <v>1.2810999999999999</v>
      </c>
      <c r="M68">
        <v>87.500500000000002</v>
      </c>
      <c r="N68">
        <v>6.7762000000000002</v>
      </c>
      <c r="O68">
        <v>1.2292266359999999</v>
      </c>
      <c r="P68">
        <v>83.957493760000006</v>
      </c>
      <c r="Q68">
        <v>6.5018230670000001</v>
      </c>
      <c r="R68">
        <v>17566484</v>
      </c>
      <c r="S68">
        <v>52669824</v>
      </c>
      <c r="T68">
        <v>9064.1299999999992</v>
      </c>
      <c r="U68">
        <v>1096.0999999999999</v>
      </c>
      <c r="W68">
        <v>21250000</v>
      </c>
      <c r="X68">
        <v>26250000</v>
      </c>
      <c r="Y68">
        <v>1461.97</v>
      </c>
      <c r="Z68">
        <v>151.24</v>
      </c>
      <c r="AA68">
        <v>259.43</v>
      </c>
      <c r="AB68">
        <v>56.9</v>
      </c>
      <c r="AC68">
        <v>73.64</v>
      </c>
      <c r="AD68">
        <v>2003.18</v>
      </c>
      <c r="AE68">
        <v>18673755</v>
      </c>
      <c r="AF68">
        <v>2680502</v>
      </c>
      <c r="AG68">
        <v>4079620</v>
      </c>
      <c r="AH68">
        <v>958050</v>
      </c>
      <c r="AI68">
        <v>1380358</v>
      </c>
      <c r="AJ68">
        <v>27772285</v>
      </c>
      <c r="AK68">
        <v>3</v>
      </c>
      <c r="AL68">
        <v>715</v>
      </c>
      <c r="AM68">
        <v>8</v>
      </c>
      <c r="AN68">
        <v>3007</v>
      </c>
      <c r="AO68">
        <v>40</v>
      </c>
      <c r="AP68">
        <v>3773</v>
      </c>
      <c r="AQ68">
        <v>42882</v>
      </c>
      <c r="AR68">
        <v>10437887</v>
      </c>
      <c r="AS68">
        <v>122241</v>
      </c>
      <c r="AT68">
        <v>28988148</v>
      </c>
      <c r="AU68">
        <v>651307</v>
      </c>
      <c r="AV68">
        <v>40242465</v>
      </c>
      <c r="AW68">
        <v>5.79</v>
      </c>
      <c r="AX68">
        <v>8.0399999999999991</v>
      </c>
      <c r="AY68">
        <v>7.13</v>
      </c>
      <c r="AZ68">
        <v>7.64</v>
      </c>
      <c r="BA68">
        <v>6.29</v>
      </c>
      <c r="BB68">
        <v>6.48</v>
      </c>
      <c r="BC68">
        <v>6.62</v>
      </c>
      <c r="BD68">
        <v>6.93</v>
      </c>
      <c r="BE68">
        <v>4.37</v>
      </c>
      <c r="BF68">
        <v>4.84</v>
      </c>
      <c r="BG68">
        <v>0.7298</v>
      </c>
      <c r="BH68">
        <v>7.5499999999999998E-2</v>
      </c>
      <c r="BI68">
        <v>0.1295</v>
      </c>
      <c r="BJ68">
        <v>2.8400000000000002E-2</v>
      </c>
      <c r="BK68">
        <v>8.0000000000000004E-4</v>
      </c>
      <c r="BL68">
        <v>0.1895</v>
      </c>
      <c r="BM68">
        <v>2.0999999999999999E-3</v>
      </c>
      <c r="BN68">
        <v>0.79700000000000004</v>
      </c>
      <c r="BO68">
        <v>-1.19</v>
      </c>
      <c r="BP68">
        <v>2.25</v>
      </c>
      <c r="BQ68">
        <v>1.34</v>
      </c>
      <c r="BR68">
        <v>1.84</v>
      </c>
      <c r="BS68">
        <v>21250000</v>
      </c>
      <c r="BT68">
        <v>1261159.48</v>
      </c>
      <c r="BU68">
        <v>10.4</v>
      </c>
      <c r="BV68">
        <v>2695068.58</v>
      </c>
      <c r="BW68">
        <v>15.87</v>
      </c>
      <c r="BX68">
        <v>9307.9056400000009</v>
      </c>
      <c r="BY68">
        <v>9.8005935520000005</v>
      </c>
      <c r="BZ68" s="5">
        <v>245288.72</v>
      </c>
      <c r="CA68" s="5">
        <v>8.6199999999999992</v>
      </c>
      <c r="CB68" s="5">
        <v>1118419.2</v>
      </c>
      <c r="CC68" s="5">
        <v>6.16</v>
      </c>
    </row>
    <row r="69" spans="1:81" x14ac:dyDescent="0.2">
      <c r="A69" s="2">
        <v>40391</v>
      </c>
      <c r="B69">
        <v>2010</v>
      </c>
      <c r="C69">
        <v>8</v>
      </c>
      <c r="E69">
        <v>4.3499999999999996</v>
      </c>
      <c r="F69">
        <v>15</v>
      </c>
      <c r="G69">
        <v>15.5</v>
      </c>
      <c r="H69">
        <v>2.88</v>
      </c>
      <c r="I69">
        <v>3.72</v>
      </c>
      <c r="J69">
        <v>2.9685999999999999</v>
      </c>
      <c r="K69">
        <v>1.0404</v>
      </c>
      <c r="L69">
        <v>1.2903</v>
      </c>
      <c r="M69">
        <v>85.372699999999995</v>
      </c>
      <c r="N69">
        <v>6.7873000000000001</v>
      </c>
      <c r="O69">
        <v>1.2401960780000001</v>
      </c>
      <c r="P69">
        <v>82.057574009999996</v>
      </c>
      <c r="Q69">
        <v>6.5237408690000001</v>
      </c>
      <c r="R69">
        <v>20318382</v>
      </c>
      <c r="S69">
        <v>60316624</v>
      </c>
      <c r="T69">
        <v>9649.17</v>
      </c>
      <c r="U69">
        <v>432.9</v>
      </c>
      <c r="W69">
        <v>14667808.5</v>
      </c>
      <c r="X69">
        <v>26250000</v>
      </c>
      <c r="Y69">
        <v>788.23</v>
      </c>
      <c r="Z69">
        <v>159.5</v>
      </c>
      <c r="AA69">
        <v>210.4</v>
      </c>
      <c r="AB69">
        <v>56.94</v>
      </c>
      <c r="AC69">
        <v>63.65</v>
      </c>
      <c r="AD69">
        <v>1278.72</v>
      </c>
      <c r="AE69">
        <v>10688095</v>
      </c>
      <c r="AF69">
        <v>2835607</v>
      </c>
      <c r="AG69">
        <v>3447228</v>
      </c>
      <c r="AH69">
        <v>801141</v>
      </c>
      <c r="AI69">
        <v>1441813</v>
      </c>
      <c r="AJ69">
        <v>19213884</v>
      </c>
      <c r="AK69">
        <v>5</v>
      </c>
      <c r="AL69">
        <v>841</v>
      </c>
      <c r="AM69">
        <v>10</v>
      </c>
      <c r="AN69">
        <v>4167</v>
      </c>
      <c r="AO69">
        <v>37</v>
      </c>
      <c r="AP69">
        <v>5060</v>
      </c>
      <c r="AQ69">
        <v>96739</v>
      </c>
      <c r="AR69">
        <v>12370924</v>
      </c>
      <c r="AS69">
        <v>152823</v>
      </c>
      <c r="AT69">
        <v>37368697</v>
      </c>
      <c r="AU69">
        <v>617617</v>
      </c>
      <c r="AV69">
        <v>50606800</v>
      </c>
      <c r="AW69">
        <v>6.15</v>
      </c>
      <c r="AX69">
        <v>8.06</v>
      </c>
      <c r="AY69">
        <v>7.43</v>
      </c>
      <c r="AZ69">
        <v>6.38</v>
      </c>
      <c r="BA69">
        <v>6.82</v>
      </c>
      <c r="BB69">
        <v>8.7799999999999994</v>
      </c>
      <c r="BC69">
        <v>6.67</v>
      </c>
      <c r="BD69">
        <v>6.93</v>
      </c>
      <c r="BE69">
        <v>4.07</v>
      </c>
      <c r="BF69">
        <v>4.54</v>
      </c>
      <c r="BG69">
        <v>0.61639999999999995</v>
      </c>
      <c r="BH69">
        <v>0.12470000000000001</v>
      </c>
      <c r="BI69">
        <v>0.16450000000000001</v>
      </c>
      <c r="BJ69">
        <v>4.4499999999999998E-2</v>
      </c>
      <c r="BK69">
        <v>1E-3</v>
      </c>
      <c r="BL69">
        <v>0.16619999999999999</v>
      </c>
      <c r="BM69">
        <v>2E-3</v>
      </c>
      <c r="BN69">
        <v>0.82350000000000001</v>
      </c>
      <c r="BO69">
        <v>-1.84</v>
      </c>
      <c r="BP69">
        <v>1.91</v>
      </c>
      <c r="BQ69">
        <v>1.28</v>
      </c>
      <c r="BR69">
        <v>0.23</v>
      </c>
      <c r="BS69">
        <v>14667808.5</v>
      </c>
      <c r="BT69">
        <v>1757124.03</v>
      </c>
      <c r="BU69">
        <v>10.25</v>
      </c>
      <c r="BV69">
        <v>4083939.5</v>
      </c>
      <c r="BW69">
        <v>14.9</v>
      </c>
      <c r="BX69">
        <v>21248.127560000001</v>
      </c>
      <c r="BY69">
        <v>10.99386284</v>
      </c>
      <c r="BZ69" s="5">
        <v>413294.33</v>
      </c>
      <c r="CA69" s="5">
        <v>6.41</v>
      </c>
      <c r="CB69" s="5">
        <v>628937.46</v>
      </c>
      <c r="CC69" s="5">
        <v>6.44</v>
      </c>
    </row>
    <row r="70" spans="1:81" x14ac:dyDescent="0.2">
      <c r="A70" s="2">
        <v>40422</v>
      </c>
      <c r="B70">
        <v>2010</v>
      </c>
      <c r="C70">
        <v>9</v>
      </c>
      <c r="E70">
        <v>4.4889999999999999</v>
      </c>
      <c r="F70">
        <v>15.06</v>
      </c>
      <c r="G70">
        <v>15.56</v>
      </c>
      <c r="H70">
        <v>2.9</v>
      </c>
      <c r="I70">
        <v>3.29</v>
      </c>
      <c r="J70">
        <v>3.1528</v>
      </c>
      <c r="K70">
        <v>1.0329999999999999</v>
      </c>
      <c r="L70">
        <v>1.3103</v>
      </c>
      <c r="M70">
        <v>84.357100000000003</v>
      </c>
      <c r="N70">
        <v>6.7396000000000003</v>
      </c>
      <c r="O70">
        <v>1.268441433</v>
      </c>
      <c r="P70">
        <v>81.662245889999994</v>
      </c>
      <c r="Q70">
        <v>6.5242981609999999</v>
      </c>
      <c r="R70">
        <v>16544120</v>
      </c>
      <c r="S70">
        <v>52159636</v>
      </c>
      <c r="T70">
        <v>7937.2</v>
      </c>
      <c r="U70">
        <v>432.9</v>
      </c>
      <c r="W70">
        <v>7917186.7999999998</v>
      </c>
      <c r="X70">
        <v>26250000</v>
      </c>
      <c r="Y70">
        <v>164.78</v>
      </c>
      <c r="Z70">
        <v>164.08</v>
      </c>
      <c r="AA70">
        <v>168.1</v>
      </c>
      <c r="AB70">
        <v>56.98</v>
      </c>
      <c r="AC70">
        <v>130.76</v>
      </c>
      <c r="AD70">
        <v>684.7</v>
      </c>
      <c r="AE70">
        <v>2513494</v>
      </c>
      <c r="AF70">
        <v>2558161</v>
      </c>
      <c r="AG70">
        <v>2453720</v>
      </c>
      <c r="AH70">
        <v>1128095</v>
      </c>
      <c r="AI70">
        <v>1316894</v>
      </c>
      <c r="AJ70">
        <v>9970364</v>
      </c>
      <c r="AK70">
        <v>53</v>
      </c>
      <c r="AL70">
        <v>831</v>
      </c>
      <c r="AM70">
        <v>35</v>
      </c>
      <c r="AN70">
        <v>3892</v>
      </c>
      <c r="AO70">
        <v>37</v>
      </c>
      <c r="AP70">
        <v>4848</v>
      </c>
      <c r="AQ70">
        <v>934136</v>
      </c>
      <c r="AR70">
        <v>11920915</v>
      </c>
      <c r="AS70">
        <v>569580</v>
      </c>
      <c r="AT70">
        <v>34406940</v>
      </c>
      <c r="AU70">
        <v>653776</v>
      </c>
      <c r="AV70">
        <v>48485347</v>
      </c>
      <c r="AW70">
        <v>6.92</v>
      </c>
      <c r="AX70">
        <v>7.07</v>
      </c>
      <c r="AY70">
        <v>6.62</v>
      </c>
      <c r="AZ70">
        <v>8.98</v>
      </c>
      <c r="BA70">
        <v>6.61</v>
      </c>
      <c r="BB70">
        <v>7.99</v>
      </c>
      <c r="BC70">
        <v>6.51</v>
      </c>
      <c r="BD70">
        <v>7.38</v>
      </c>
      <c r="BE70">
        <v>4.01</v>
      </c>
      <c r="BF70">
        <v>4.54</v>
      </c>
      <c r="BG70">
        <v>0.2407</v>
      </c>
      <c r="BH70">
        <v>0.23960000000000001</v>
      </c>
      <c r="BI70">
        <v>0.2455</v>
      </c>
      <c r="BJ70">
        <v>8.3199999999999996E-2</v>
      </c>
      <c r="BK70">
        <v>1.09E-2</v>
      </c>
      <c r="BL70">
        <v>0.1714</v>
      </c>
      <c r="BM70">
        <v>7.1999999999999998E-3</v>
      </c>
      <c r="BN70">
        <v>0.80279999999999996</v>
      </c>
      <c r="BO70">
        <v>-2.69</v>
      </c>
      <c r="BP70">
        <v>0.15</v>
      </c>
      <c r="BQ70">
        <v>-0.3</v>
      </c>
      <c r="BR70">
        <v>2.06</v>
      </c>
      <c r="BS70">
        <v>7917186.7999999998</v>
      </c>
      <c r="BT70">
        <v>1654880.37</v>
      </c>
      <c r="BU70">
        <v>9.93</v>
      </c>
      <c r="BV70">
        <v>191940.83</v>
      </c>
      <c r="BW70">
        <v>14.06</v>
      </c>
      <c r="BX70">
        <v>1840.8577</v>
      </c>
      <c r="BY70">
        <v>10.979664530000001</v>
      </c>
      <c r="BZ70" s="5">
        <v>114232.61</v>
      </c>
      <c r="CA70" s="5">
        <v>9.2100000000000009</v>
      </c>
      <c r="CB70" s="5">
        <v>448019.37</v>
      </c>
      <c r="CC70" s="5">
        <v>6.5</v>
      </c>
    </row>
    <row r="71" spans="1:81" x14ac:dyDescent="0.2">
      <c r="A71" s="2">
        <v>40452</v>
      </c>
      <c r="B71">
        <v>2010</v>
      </c>
      <c r="C71">
        <v>10</v>
      </c>
      <c r="E71">
        <v>4.7939999999999996</v>
      </c>
      <c r="F71">
        <v>15.75</v>
      </c>
      <c r="G71">
        <v>16.03</v>
      </c>
      <c r="H71">
        <v>2.94</v>
      </c>
      <c r="I71">
        <v>3.47</v>
      </c>
      <c r="J71">
        <v>3.5207000000000002</v>
      </c>
      <c r="K71">
        <v>1.0179</v>
      </c>
      <c r="L71">
        <v>1.3900999999999999</v>
      </c>
      <c r="M71">
        <v>81.728499999999997</v>
      </c>
      <c r="N71">
        <v>6.6677999999999997</v>
      </c>
      <c r="O71">
        <v>1.365654779</v>
      </c>
      <c r="P71">
        <v>80.291285979999998</v>
      </c>
      <c r="Q71">
        <v>6.5505452399999999</v>
      </c>
      <c r="R71">
        <v>18301776</v>
      </c>
      <c r="S71">
        <v>64434832</v>
      </c>
      <c r="T71">
        <v>9114.06</v>
      </c>
      <c r="U71">
        <v>812.5</v>
      </c>
      <c r="W71">
        <v>3400000</v>
      </c>
      <c r="X71">
        <v>26250000</v>
      </c>
      <c r="Y71">
        <v>204.04</v>
      </c>
      <c r="Z71">
        <v>79.31</v>
      </c>
      <c r="AA71">
        <v>134.15</v>
      </c>
      <c r="AB71">
        <v>40.270000000000003</v>
      </c>
      <c r="AC71">
        <v>63.65</v>
      </c>
      <c r="AD71">
        <v>521.41999999999996</v>
      </c>
      <c r="AE71">
        <v>2839016</v>
      </c>
      <c r="AF71">
        <v>1429893</v>
      </c>
      <c r="AG71">
        <v>2390093</v>
      </c>
      <c r="AH71">
        <v>768960</v>
      </c>
      <c r="AI71">
        <v>1143129</v>
      </c>
      <c r="AJ71">
        <v>8571091</v>
      </c>
      <c r="AK71">
        <v>103</v>
      </c>
      <c r="AL71">
        <v>760</v>
      </c>
      <c r="AM71">
        <v>41</v>
      </c>
      <c r="AN71">
        <v>5283</v>
      </c>
      <c r="AO71">
        <v>50</v>
      </c>
      <c r="AP71">
        <v>6237</v>
      </c>
      <c r="AQ71">
        <v>2101182</v>
      </c>
      <c r="AR71">
        <v>11058989</v>
      </c>
      <c r="AS71">
        <v>608242</v>
      </c>
      <c r="AT71">
        <v>50583833</v>
      </c>
      <c r="AU71">
        <v>855049</v>
      </c>
      <c r="AV71">
        <v>65207295</v>
      </c>
      <c r="AW71">
        <v>6.31</v>
      </c>
      <c r="AX71">
        <v>8.18</v>
      </c>
      <c r="AY71">
        <v>8.08</v>
      </c>
      <c r="AZ71">
        <v>8.66</v>
      </c>
      <c r="BA71">
        <v>7.46</v>
      </c>
      <c r="BB71">
        <v>9.25</v>
      </c>
      <c r="BC71">
        <v>6.6</v>
      </c>
      <c r="BD71">
        <v>6.73</v>
      </c>
      <c r="BE71">
        <v>4.34</v>
      </c>
      <c r="BF71">
        <v>4.74</v>
      </c>
      <c r="BG71">
        <v>0.39129999999999998</v>
      </c>
      <c r="BH71">
        <v>0.15210000000000001</v>
      </c>
      <c r="BI71">
        <v>0.25729999999999997</v>
      </c>
      <c r="BJ71">
        <v>7.7200000000000005E-2</v>
      </c>
      <c r="BK71">
        <v>1.6500000000000001E-2</v>
      </c>
      <c r="BL71">
        <v>0.12189999999999999</v>
      </c>
      <c r="BM71">
        <v>6.6E-3</v>
      </c>
      <c r="BN71">
        <v>0.84699999999999998</v>
      </c>
      <c r="BO71">
        <v>-1.86</v>
      </c>
      <c r="BP71">
        <v>1.87</v>
      </c>
      <c r="BQ71">
        <v>1.77</v>
      </c>
      <c r="BR71">
        <v>2.35</v>
      </c>
      <c r="BS71">
        <v>3400000</v>
      </c>
      <c r="BT71">
        <v>1449941.1</v>
      </c>
      <c r="BU71">
        <v>11</v>
      </c>
      <c r="BV71">
        <v>23360.15</v>
      </c>
      <c r="BW71">
        <v>12.84</v>
      </c>
      <c r="BX71">
        <v>52963.79088</v>
      </c>
      <c r="BY71">
        <v>1.2274989940000001</v>
      </c>
      <c r="BZ71" s="5">
        <v>362777.56</v>
      </c>
      <c r="CA71" s="5">
        <v>5.32</v>
      </c>
      <c r="CB71" s="5">
        <v>518084.53</v>
      </c>
      <c r="CC71" s="5">
        <v>7.2</v>
      </c>
    </row>
    <row r="72" spans="1:81" x14ac:dyDescent="0.2">
      <c r="A72" s="2">
        <v>40483</v>
      </c>
      <c r="B72">
        <v>2010</v>
      </c>
      <c r="C72">
        <v>11</v>
      </c>
      <c r="E72">
        <v>4.7610000000000001</v>
      </c>
      <c r="F72">
        <v>16.36</v>
      </c>
      <c r="G72">
        <v>16.47</v>
      </c>
      <c r="I72">
        <v>4.08</v>
      </c>
      <c r="J72">
        <v>3.6187999999999998</v>
      </c>
      <c r="K72">
        <v>1.0128999999999999</v>
      </c>
      <c r="L72">
        <v>1.3653999999999999</v>
      </c>
      <c r="M72">
        <v>82.518000000000001</v>
      </c>
      <c r="N72">
        <v>6.6538000000000004</v>
      </c>
      <c r="O72">
        <v>1.3480106620000001</v>
      </c>
      <c r="P72">
        <v>81.467074740000001</v>
      </c>
      <c r="Q72">
        <v>6.569059137</v>
      </c>
      <c r="R72">
        <v>9944423</v>
      </c>
      <c r="S72">
        <v>35987011</v>
      </c>
      <c r="T72">
        <v>6080.77</v>
      </c>
      <c r="U72">
        <v>1570.05</v>
      </c>
      <c r="W72">
        <v>4843750</v>
      </c>
      <c r="X72">
        <v>26250000</v>
      </c>
      <c r="Y72">
        <v>640.76</v>
      </c>
      <c r="Z72">
        <v>82.22</v>
      </c>
      <c r="AA72">
        <v>147.69</v>
      </c>
      <c r="AB72">
        <v>60.38</v>
      </c>
      <c r="AC72">
        <v>69.09</v>
      </c>
      <c r="AD72">
        <v>1000.14</v>
      </c>
      <c r="AE72">
        <v>7898063</v>
      </c>
      <c r="AF72">
        <v>1458195</v>
      </c>
      <c r="AG72">
        <v>2401847</v>
      </c>
      <c r="AH72">
        <v>765672</v>
      </c>
      <c r="AI72">
        <v>1454341</v>
      </c>
      <c r="AJ72">
        <v>13978118</v>
      </c>
      <c r="AK72">
        <v>83</v>
      </c>
      <c r="AL72">
        <v>706</v>
      </c>
      <c r="AM72">
        <v>42</v>
      </c>
      <c r="AN72">
        <v>2381</v>
      </c>
      <c r="AO72">
        <v>58</v>
      </c>
      <c r="AP72">
        <v>3270</v>
      </c>
      <c r="AQ72">
        <v>1713233</v>
      </c>
      <c r="AR72">
        <v>10483649</v>
      </c>
      <c r="AS72">
        <v>638149</v>
      </c>
      <c r="AT72">
        <v>23102613</v>
      </c>
      <c r="AU72">
        <v>1020506</v>
      </c>
      <c r="AV72">
        <v>36958150</v>
      </c>
      <c r="AW72">
        <v>5.59</v>
      </c>
      <c r="AX72">
        <v>8.0399999999999991</v>
      </c>
      <c r="AY72">
        <v>7.38</v>
      </c>
      <c r="AZ72">
        <v>5.75</v>
      </c>
      <c r="BA72">
        <v>6.34</v>
      </c>
      <c r="BB72">
        <v>9.36</v>
      </c>
      <c r="BC72">
        <v>6.74</v>
      </c>
      <c r="BD72">
        <v>6.89</v>
      </c>
      <c r="BE72">
        <v>4.4000000000000004</v>
      </c>
      <c r="BF72">
        <v>5.13</v>
      </c>
      <c r="BG72">
        <v>0.64070000000000005</v>
      </c>
      <c r="BH72">
        <v>8.2199999999999995E-2</v>
      </c>
      <c r="BI72">
        <v>0.1477</v>
      </c>
      <c r="BJ72">
        <v>6.0400000000000002E-2</v>
      </c>
      <c r="BK72">
        <v>2.5399999999999999E-2</v>
      </c>
      <c r="BL72">
        <v>0.21590000000000001</v>
      </c>
      <c r="BM72">
        <v>1.2800000000000001E-2</v>
      </c>
      <c r="BN72">
        <v>0.72809999999999997</v>
      </c>
      <c r="BO72">
        <v>-1.1200000000000001</v>
      </c>
      <c r="BP72">
        <v>2.4500000000000002</v>
      </c>
      <c r="BQ72">
        <v>1.79</v>
      </c>
      <c r="BR72">
        <v>0.16</v>
      </c>
      <c r="BS72">
        <v>4843750</v>
      </c>
      <c r="BT72">
        <v>1118694.74</v>
      </c>
      <c r="BU72">
        <v>11.6</v>
      </c>
      <c r="BV72">
        <v>1486376.85</v>
      </c>
      <c r="BW72">
        <v>15.69</v>
      </c>
      <c r="BX72">
        <v>1840.8577</v>
      </c>
      <c r="BY72">
        <v>11.20130035</v>
      </c>
      <c r="BZ72" s="5">
        <v>344637.91</v>
      </c>
      <c r="CA72" s="5">
        <v>6.9</v>
      </c>
      <c r="CB72" s="5">
        <v>330951.59999999998</v>
      </c>
      <c r="CC72" s="5">
        <v>5.77</v>
      </c>
    </row>
    <row r="73" spans="1:81" x14ac:dyDescent="0.2">
      <c r="A73" s="2">
        <v>40513</v>
      </c>
      <c r="B73">
        <v>2010</v>
      </c>
      <c r="C73">
        <v>12</v>
      </c>
      <c r="E73">
        <v>5.6219999999999999</v>
      </c>
      <c r="F73">
        <v>16.62</v>
      </c>
      <c r="G73">
        <v>16.5</v>
      </c>
      <c r="I73">
        <v>4.75</v>
      </c>
      <c r="J73">
        <v>3.8832</v>
      </c>
      <c r="K73">
        <v>1.0081</v>
      </c>
      <c r="L73">
        <v>1.3221000000000001</v>
      </c>
      <c r="M73">
        <v>83.337599999999995</v>
      </c>
      <c r="N73">
        <v>6.6497000000000002</v>
      </c>
      <c r="O73">
        <v>1.3114770360000001</v>
      </c>
      <c r="P73">
        <v>82.667989289999994</v>
      </c>
      <c r="Q73">
        <v>6.5962702110000002</v>
      </c>
      <c r="R73">
        <v>3067439</v>
      </c>
      <c r="S73">
        <v>11911418</v>
      </c>
      <c r="T73">
        <v>16735.27</v>
      </c>
      <c r="U73">
        <v>15343.9</v>
      </c>
      <c r="W73">
        <v>19187500</v>
      </c>
      <c r="X73">
        <v>26250000</v>
      </c>
      <c r="Y73">
        <v>4395.54</v>
      </c>
      <c r="Z73">
        <v>178.74</v>
      </c>
      <c r="AA73">
        <v>853.11</v>
      </c>
      <c r="AB73">
        <v>120.92</v>
      </c>
      <c r="AC73">
        <v>127.54</v>
      </c>
      <c r="AD73">
        <v>5675.85</v>
      </c>
      <c r="AE73">
        <v>53494320</v>
      </c>
      <c r="AF73">
        <v>2962050</v>
      </c>
      <c r="AG73">
        <v>13328301</v>
      </c>
      <c r="AH73">
        <v>1470502</v>
      </c>
      <c r="AI73">
        <v>2760310</v>
      </c>
      <c r="AJ73">
        <v>74015483</v>
      </c>
      <c r="AK73">
        <v>89</v>
      </c>
      <c r="AL73">
        <v>1597</v>
      </c>
      <c r="AM73">
        <v>29</v>
      </c>
      <c r="AN73">
        <v>711</v>
      </c>
      <c r="AO73">
        <v>91</v>
      </c>
      <c r="AP73">
        <v>2517</v>
      </c>
      <c r="AQ73">
        <v>1694875</v>
      </c>
      <c r="AR73">
        <v>23728890</v>
      </c>
      <c r="AS73">
        <v>457624</v>
      </c>
      <c r="AT73">
        <v>7124692</v>
      </c>
      <c r="AU73">
        <v>1584547</v>
      </c>
      <c r="AV73">
        <v>34590628</v>
      </c>
      <c r="AW73">
        <v>5.52</v>
      </c>
      <c r="AX73">
        <v>7.52</v>
      </c>
      <c r="AY73">
        <v>7.09</v>
      </c>
      <c r="AZ73">
        <v>5.52</v>
      </c>
      <c r="BA73">
        <v>5.92</v>
      </c>
      <c r="BB73">
        <v>8.64</v>
      </c>
      <c r="BC73">
        <v>6.74</v>
      </c>
      <c r="BD73">
        <v>7.16</v>
      </c>
      <c r="BE73">
        <v>4.55</v>
      </c>
      <c r="BF73">
        <v>6.23</v>
      </c>
      <c r="BG73">
        <v>0.77439999999999998</v>
      </c>
      <c r="BH73">
        <v>3.15E-2</v>
      </c>
      <c r="BI73">
        <v>0.15029999999999999</v>
      </c>
      <c r="BJ73">
        <v>2.1299999999999999E-2</v>
      </c>
      <c r="BK73">
        <v>3.5400000000000001E-2</v>
      </c>
      <c r="BL73">
        <v>0.63449999999999995</v>
      </c>
      <c r="BM73">
        <v>1.15E-2</v>
      </c>
      <c r="BN73">
        <v>0.28249999999999997</v>
      </c>
      <c r="BO73">
        <v>-0.93</v>
      </c>
      <c r="BP73">
        <v>2</v>
      </c>
      <c r="BQ73">
        <v>1.57</v>
      </c>
      <c r="BR73">
        <v>0</v>
      </c>
      <c r="BS73">
        <v>19187500</v>
      </c>
      <c r="BT73">
        <v>1545870.73</v>
      </c>
      <c r="BU73">
        <v>11.64</v>
      </c>
      <c r="BV73">
        <v>2220279.42</v>
      </c>
      <c r="BW73">
        <v>14.59</v>
      </c>
      <c r="BX73">
        <v>12246.6641</v>
      </c>
      <c r="BY73">
        <v>6.4660057100000001</v>
      </c>
      <c r="BZ73" s="5">
        <v>80475.41</v>
      </c>
      <c r="CA73" s="5">
        <v>6.51</v>
      </c>
      <c r="CB73" s="5">
        <v>82695.460000000006</v>
      </c>
      <c r="CC73" s="5">
        <v>5.04</v>
      </c>
    </row>
    <row r="74" spans="1:81" x14ac:dyDescent="0.2">
      <c r="A74" s="2">
        <v>40544</v>
      </c>
      <c r="B74">
        <v>2011</v>
      </c>
      <c r="C74">
        <v>1</v>
      </c>
      <c r="E74">
        <v>6.0940000000000003</v>
      </c>
      <c r="F74">
        <v>16.649999999999999</v>
      </c>
      <c r="G74">
        <v>16.5</v>
      </c>
      <c r="I74">
        <v>5.09</v>
      </c>
      <c r="J74">
        <v>4.5462999999999996</v>
      </c>
      <c r="K74">
        <v>0.99390000000000001</v>
      </c>
      <c r="L74">
        <v>1.3371</v>
      </c>
      <c r="M74">
        <v>82.625</v>
      </c>
      <c r="N74">
        <v>6.5964</v>
      </c>
      <c r="O74">
        <v>1.345306369</v>
      </c>
      <c r="P74">
        <v>83.132105850000002</v>
      </c>
      <c r="Q74">
        <v>6.6368849980000002</v>
      </c>
      <c r="R74">
        <v>1199375</v>
      </c>
      <c r="S74">
        <v>5452753</v>
      </c>
      <c r="T74">
        <v>6860.09</v>
      </c>
      <c r="U74">
        <v>6316.06</v>
      </c>
      <c r="W74">
        <v>15625000</v>
      </c>
      <c r="X74">
        <v>26250000</v>
      </c>
      <c r="Y74">
        <v>1550.09</v>
      </c>
      <c r="Z74">
        <v>159.28</v>
      </c>
      <c r="AA74">
        <v>144.94999999999999</v>
      </c>
      <c r="AB74">
        <v>60.39</v>
      </c>
      <c r="AC74">
        <v>64.31</v>
      </c>
      <c r="AD74">
        <v>1979.02</v>
      </c>
      <c r="AE74">
        <v>19257412</v>
      </c>
      <c r="AF74">
        <v>2966079</v>
      </c>
      <c r="AG74">
        <v>2321634</v>
      </c>
      <c r="AH74">
        <v>659440</v>
      </c>
      <c r="AI74">
        <v>1542438</v>
      </c>
      <c r="AJ74">
        <v>26747003</v>
      </c>
      <c r="AK74">
        <v>106</v>
      </c>
      <c r="AL74">
        <v>532</v>
      </c>
      <c r="AM74">
        <v>12</v>
      </c>
      <c r="AN74">
        <v>174</v>
      </c>
      <c r="AO74">
        <v>67</v>
      </c>
      <c r="AP74">
        <v>891</v>
      </c>
      <c r="AQ74">
        <v>1947666</v>
      </c>
      <c r="AR74">
        <v>7659406</v>
      </c>
      <c r="AS74">
        <v>202105</v>
      </c>
      <c r="AT74">
        <v>1806467</v>
      </c>
      <c r="AU74">
        <v>1181926</v>
      </c>
      <c r="AV74">
        <v>12797570</v>
      </c>
      <c r="AW74">
        <v>5.64</v>
      </c>
      <c r="AX74">
        <v>8.4499999999999993</v>
      </c>
      <c r="AY74">
        <v>7.27</v>
      </c>
      <c r="AZ74">
        <v>4.95</v>
      </c>
      <c r="BA74">
        <v>6.13</v>
      </c>
      <c r="BB74">
        <v>8.33</v>
      </c>
      <c r="BC74">
        <v>6.53</v>
      </c>
      <c r="BD74">
        <v>7.64</v>
      </c>
      <c r="BE74">
        <v>4.71</v>
      </c>
      <c r="BF74">
        <v>6.52</v>
      </c>
      <c r="BG74">
        <v>0.7833</v>
      </c>
      <c r="BH74">
        <v>8.0500000000000002E-2</v>
      </c>
      <c r="BI74">
        <v>7.3200000000000001E-2</v>
      </c>
      <c r="BJ74">
        <v>3.0499999999999999E-2</v>
      </c>
      <c r="BK74">
        <v>0.11899999999999999</v>
      </c>
      <c r="BL74">
        <v>0.59709999999999996</v>
      </c>
      <c r="BM74">
        <v>1.35E-2</v>
      </c>
      <c r="BN74">
        <v>0.1953</v>
      </c>
      <c r="BO74">
        <v>-0.96</v>
      </c>
      <c r="BP74">
        <v>2.81</v>
      </c>
      <c r="BQ74">
        <v>1.63</v>
      </c>
      <c r="BR74">
        <v>-0.68</v>
      </c>
      <c r="BS74">
        <v>15625000</v>
      </c>
      <c r="BT74">
        <v>784181.13</v>
      </c>
      <c r="BU74">
        <v>11.85</v>
      </c>
      <c r="BV74">
        <v>121631.09</v>
      </c>
      <c r="BW74">
        <v>12.81</v>
      </c>
      <c r="BX74">
        <v>1496.9369799999999</v>
      </c>
      <c r="BY74">
        <v>19.837842469999998</v>
      </c>
      <c r="BZ74" s="5">
        <v>46579.3</v>
      </c>
      <c r="CA74" s="5">
        <v>20.71</v>
      </c>
      <c r="CB74" s="5">
        <v>23578.46</v>
      </c>
      <c r="CC74" s="5">
        <v>5.98</v>
      </c>
    </row>
    <row r="75" spans="1:81" x14ac:dyDescent="0.2">
      <c r="A75" s="2">
        <v>40575</v>
      </c>
      <c r="B75">
        <v>2011</v>
      </c>
      <c r="C75">
        <v>2</v>
      </c>
      <c r="E75">
        <v>6.0190000000000001</v>
      </c>
      <c r="F75">
        <v>16.649999999999999</v>
      </c>
      <c r="G75">
        <v>16.5</v>
      </c>
      <c r="I75">
        <v>5</v>
      </c>
      <c r="J75">
        <v>4.6801000000000004</v>
      </c>
      <c r="K75">
        <v>0.98760000000000003</v>
      </c>
      <c r="L75">
        <v>1.3655999999999999</v>
      </c>
      <c r="M75">
        <v>82.536799999999999</v>
      </c>
      <c r="N75">
        <v>6.5761000000000003</v>
      </c>
      <c r="O75">
        <v>1.382746051</v>
      </c>
      <c r="P75">
        <v>83.573106519999996</v>
      </c>
      <c r="Q75">
        <v>6.6586674769999998</v>
      </c>
      <c r="R75">
        <v>364138</v>
      </c>
      <c r="S75">
        <v>1704196</v>
      </c>
      <c r="T75">
        <v>292.47000000000003</v>
      </c>
      <c r="U75">
        <v>127.3</v>
      </c>
      <c r="W75">
        <v>11500000</v>
      </c>
      <c r="X75">
        <v>26250000</v>
      </c>
      <c r="Y75">
        <v>2188.79</v>
      </c>
      <c r="Z75">
        <v>113</v>
      </c>
      <c r="AA75">
        <v>173.4</v>
      </c>
      <c r="AB75">
        <v>56.18</v>
      </c>
      <c r="AC75">
        <v>76.88</v>
      </c>
      <c r="AD75">
        <v>2608.25</v>
      </c>
      <c r="AE75">
        <v>26395131</v>
      </c>
      <c r="AF75">
        <v>2081467</v>
      </c>
      <c r="AG75">
        <v>2849215</v>
      </c>
      <c r="AH75">
        <v>893323</v>
      </c>
      <c r="AI75">
        <v>1421615</v>
      </c>
      <c r="AJ75">
        <v>33640751</v>
      </c>
      <c r="AK75">
        <v>99</v>
      </c>
      <c r="AL75">
        <v>551</v>
      </c>
      <c r="AM75">
        <v>15</v>
      </c>
      <c r="AN75">
        <v>44</v>
      </c>
      <c r="AO75">
        <v>49</v>
      </c>
      <c r="AP75">
        <v>758</v>
      </c>
      <c r="AQ75">
        <v>1691510</v>
      </c>
      <c r="AR75">
        <v>8043885</v>
      </c>
      <c r="AS75">
        <v>286498</v>
      </c>
      <c r="AT75">
        <v>447954</v>
      </c>
      <c r="AU75">
        <v>854317</v>
      </c>
      <c r="AV75">
        <v>11324164</v>
      </c>
      <c r="AW75">
        <v>5.47</v>
      </c>
      <c r="AX75">
        <v>8.36</v>
      </c>
      <c r="AY75">
        <v>7.45</v>
      </c>
      <c r="AZ75">
        <v>7.21</v>
      </c>
      <c r="BA75">
        <v>5.85</v>
      </c>
      <c r="BB75">
        <v>7.75</v>
      </c>
      <c r="BC75">
        <v>6.62</v>
      </c>
      <c r="BD75">
        <v>8.66</v>
      </c>
      <c r="BE75">
        <v>4.62</v>
      </c>
      <c r="BF75">
        <v>6.78</v>
      </c>
      <c r="BG75">
        <v>0.83919999999999995</v>
      </c>
      <c r="BH75">
        <v>4.3299999999999998E-2</v>
      </c>
      <c r="BI75">
        <v>6.6500000000000004E-2</v>
      </c>
      <c r="BJ75">
        <v>2.1499999999999998E-2</v>
      </c>
      <c r="BK75">
        <v>0.13059999999999999</v>
      </c>
      <c r="BL75">
        <v>0.72689999999999999</v>
      </c>
      <c r="BM75">
        <v>1.9800000000000002E-2</v>
      </c>
      <c r="BN75">
        <v>5.8000000000000003E-2</v>
      </c>
      <c r="BO75">
        <v>-0.92</v>
      </c>
      <c r="BP75">
        <v>2.89</v>
      </c>
      <c r="BQ75">
        <v>1.98</v>
      </c>
      <c r="BR75">
        <v>1.74</v>
      </c>
      <c r="BS75">
        <v>11500000</v>
      </c>
      <c r="BT75">
        <v>207472.38</v>
      </c>
      <c r="BU75">
        <v>7.6</v>
      </c>
      <c r="BV75">
        <v>99642.21</v>
      </c>
      <c r="BW75">
        <v>17.12</v>
      </c>
      <c r="BX75">
        <v>1829.8345999999999</v>
      </c>
      <c r="BY75">
        <v>11.41469289</v>
      </c>
      <c r="BZ75" s="5">
        <v>39361.360000000001</v>
      </c>
      <c r="CA75" s="5">
        <v>18.34</v>
      </c>
      <c r="CB75" s="5">
        <v>9193.2800000000007</v>
      </c>
      <c r="CC75" s="5">
        <v>11.13</v>
      </c>
    </row>
    <row r="76" spans="1:81" x14ac:dyDescent="0.2">
      <c r="A76" s="2">
        <v>40603</v>
      </c>
      <c r="B76">
        <v>2011</v>
      </c>
      <c r="C76">
        <v>3</v>
      </c>
      <c r="E76">
        <v>5.9450000000000003</v>
      </c>
      <c r="F76">
        <v>16.649999999999999</v>
      </c>
      <c r="G76">
        <v>16.5</v>
      </c>
      <c r="I76">
        <v>4.7</v>
      </c>
      <c r="J76">
        <v>4.7221000000000002</v>
      </c>
      <c r="K76">
        <v>0.97660000000000002</v>
      </c>
      <c r="L76">
        <v>1.4019999999999999</v>
      </c>
      <c r="M76">
        <v>81.647000000000006</v>
      </c>
      <c r="N76">
        <v>6.5644999999999998</v>
      </c>
      <c r="O76">
        <v>1.435592873</v>
      </c>
      <c r="P76">
        <v>83.603317630000006</v>
      </c>
      <c r="Q76">
        <v>6.7217898829999996</v>
      </c>
      <c r="R76">
        <v>508733</v>
      </c>
      <c r="S76">
        <v>2402282</v>
      </c>
      <c r="T76">
        <v>358.06</v>
      </c>
      <c r="U76">
        <v>127.3</v>
      </c>
      <c r="W76">
        <v>6062500</v>
      </c>
      <c r="X76">
        <v>26250000</v>
      </c>
      <c r="Y76">
        <v>1980.54</v>
      </c>
      <c r="Z76">
        <v>149.36000000000001</v>
      </c>
      <c r="AA76">
        <v>165.32</v>
      </c>
      <c r="AB76">
        <v>61.01</v>
      </c>
      <c r="AC76">
        <v>89.65</v>
      </c>
      <c r="AD76">
        <v>2445.88</v>
      </c>
      <c r="AE76">
        <v>22975849</v>
      </c>
      <c r="AF76">
        <v>2728310</v>
      </c>
      <c r="AG76">
        <v>2725866</v>
      </c>
      <c r="AH76">
        <v>1066167</v>
      </c>
      <c r="AI76">
        <v>1514239</v>
      </c>
      <c r="AJ76">
        <v>31010431</v>
      </c>
      <c r="AK76">
        <v>69</v>
      </c>
      <c r="AL76">
        <v>626</v>
      </c>
      <c r="AM76">
        <v>9</v>
      </c>
      <c r="AN76">
        <v>17</v>
      </c>
      <c r="AO76">
        <v>50</v>
      </c>
      <c r="AP76">
        <v>771</v>
      </c>
      <c r="AQ76">
        <v>1185554</v>
      </c>
      <c r="AR76">
        <v>9284533</v>
      </c>
      <c r="AS76">
        <v>145251</v>
      </c>
      <c r="AT76">
        <v>181884</v>
      </c>
      <c r="AU76">
        <v>865351</v>
      </c>
      <c r="AV76">
        <v>11662573</v>
      </c>
      <c r="AW76">
        <v>5.26</v>
      </c>
      <c r="AX76">
        <v>8.2899999999999991</v>
      </c>
      <c r="AY76">
        <v>7.48</v>
      </c>
      <c r="AZ76">
        <v>7.93</v>
      </c>
      <c r="BA76">
        <v>5.75</v>
      </c>
      <c r="BB76">
        <v>7.79</v>
      </c>
      <c r="BC76">
        <v>6.73</v>
      </c>
      <c r="BD76">
        <v>7.32</v>
      </c>
      <c r="BE76">
        <v>4.8499999999999996</v>
      </c>
      <c r="BF76">
        <v>6.86</v>
      </c>
      <c r="BG76">
        <v>0.80969999999999998</v>
      </c>
      <c r="BH76">
        <v>6.1100000000000002E-2</v>
      </c>
      <c r="BI76">
        <v>6.7599999999999993E-2</v>
      </c>
      <c r="BJ76">
        <v>2.4899999999999999E-2</v>
      </c>
      <c r="BK76">
        <v>8.9499999999999996E-2</v>
      </c>
      <c r="BL76">
        <v>0.81189999999999996</v>
      </c>
      <c r="BM76">
        <v>1.17E-2</v>
      </c>
      <c r="BN76">
        <v>2.1999999999999999E-2</v>
      </c>
      <c r="BO76">
        <v>-0.54</v>
      </c>
      <c r="BP76">
        <v>3.03</v>
      </c>
      <c r="BQ76">
        <v>2.2200000000000002</v>
      </c>
      <c r="BR76">
        <v>2.66</v>
      </c>
      <c r="BS76">
        <v>6062500</v>
      </c>
      <c r="BT76">
        <v>157952.20000000001</v>
      </c>
      <c r="BU76">
        <v>8.58</v>
      </c>
      <c r="BV76">
        <v>2490563.62</v>
      </c>
      <c r="BW76">
        <v>15.99</v>
      </c>
      <c r="BZ76" s="5">
        <v>15306.71</v>
      </c>
      <c r="CA76" s="5">
        <v>22.52</v>
      </c>
      <c r="CB76" s="5">
        <v>29090.02</v>
      </c>
      <c r="CC76" s="5">
        <v>11.36</v>
      </c>
    </row>
    <row r="77" spans="1:81" x14ac:dyDescent="0.2">
      <c r="A77" s="2">
        <v>40634</v>
      </c>
      <c r="B77">
        <v>2011</v>
      </c>
      <c r="C77">
        <v>4</v>
      </c>
      <c r="E77">
        <v>6.35</v>
      </c>
      <c r="F77">
        <v>16.649999999999999</v>
      </c>
      <c r="G77">
        <v>16.5</v>
      </c>
      <c r="I77">
        <v>4.5</v>
      </c>
      <c r="J77">
        <v>5.0403000000000002</v>
      </c>
      <c r="K77">
        <v>0.95799999999999996</v>
      </c>
      <c r="L77">
        <v>1.446</v>
      </c>
      <c r="M77">
        <v>83.177099999999996</v>
      </c>
      <c r="N77">
        <v>6.5266999999999999</v>
      </c>
      <c r="O77">
        <v>1.5093945719999999</v>
      </c>
      <c r="P77">
        <v>86.823695200000003</v>
      </c>
      <c r="Q77">
        <v>6.8128392480000004</v>
      </c>
      <c r="R77">
        <v>879722</v>
      </c>
      <c r="S77">
        <v>4434046</v>
      </c>
      <c r="T77">
        <v>2178.14</v>
      </c>
      <c r="U77">
        <v>1779.1</v>
      </c>
      <c r="W77">
        <v>2593750</v>
      </c>
      <c r="X77">
        <v>26250000</v>
      </c>
      <c r="Y77">
        <v>1989.03</v>
      </c>
      <c r="Z77">
        <v>153.84</v>
      </c>
      <c r="AA77">
        <v>190.62</v>
      </c>
      <c r="AB77">
        <v>66.81</v>
      </c>
      <c r="AC77">
        <v>104.6</v>
      </c>
      <c r="AD77">
        <v>2504.9</v>
      </c>
      <c r="AE77">
        <v>23846392</v>
      </c>
      <c r="AF77">
        <v>2776011</v>
      </c>
      <c r="AG77">
        <v>3111381</v>
      </c>
      <c r="AH77">
        <v>930717</v>
      </c>
      <c r="AI77">
        <v>1553507</v>
      </c>
      <c r="AJ77">
        <v>32218008</v>
      </c>
      <c r="AK77">
        <v>75</v>
      </c>
      <c r="AL77">
        <v>633</v>
      </c>
      <c r="AM77">
        <v>7</v>
      </c>
      <c r="AN77">
        <v>15</v>
      </c>
      <c r="AO77">
        <v>76</v>
      </c>
      <c r="AP77">
        <v>806</v>
      </c>
      <c r="AQ77">
        <v>1244448</v>
      </c>
      <c r="AR77">
        <v>9627049</v>
      </c>
      <c r="AS77">
        <v>105537</v>
      </c>
      <c r="AT77">
        <v>185753</v>
      </c>
      <c r="AU77">
        <v>1163292</v>
      </c>
      <c r="AV77">
        <v>12326079</v>
      </c>
      <c r="AW77">
        <v>5.44</v>
      </c>
      <c r="AX77">
        <v>8.18</v>
      </c>
      <c r="AY77">
        <v>7.4</v>
      </c>
      <c r="AZ77">
        <v>6.32</v>
      </c>
      <c r="BA77">
        <v>5.83</v>
      </c>
      <c r="BB77">
        <v>7.53</v>
      </c>
      <c r="BC77">
        <v>6.9</v>
      </c>
      <c r="BD77">
        <v>6.84</v>
      </c>
      <c r="BE77">
        <v>5.62</v>
      </c>
      <c r="BF77">
        <v>6.94</v>
      </c>
      <c r="BG77">
        <v>0.79410000000000003</v>
      </c>
      <c r="BH77">
        <v>6.1400000000000003E-2</v>
      </c>
      <c r="BI77">
        <v>7.6100000000000001E-2</v>
      </c>
      <c r="BJ77">
        <v>2.6700000000000002E-2</v>
      </c>
      <c r="BK77">
        <v>9.3100000000000002E-2</v>
      </c>
      <c r="BL77">
        <v>0.78539999999999999</v>
      </c>
      <c r="BM77">
        <v>8.6999999999999994E-3</v>
      </c>
      <c r="BN77">
        <v>1.8599999999999998E-2</v>
      </c>
      <c r="BO77">
        <v>-0.06</v>
      </c>
      <c r="BP77">
        <v>2.74</v>
      </c>
      <c r="BQ77">
        <v>1.97</v>
      </c>
      <c r="BR77">
        <v>0.88</v>
      </c>
      <c r="BS77">
        <v>2593750</v>
      </c>
      <c r="BT77">
        <v>167275.54</v>
      </c>
      <c r="BU77">
        <v>7.3</v>
      </c>
      <c r="BV77">
        <v>1878649.3</v>
      </c>
      <c r="BW77">
        <v>14.6</v>
      </c>
      <c r="BZ77" s="5">
        <v>36850.300000000003</v>
      </c>
      <c r="CA77" s="5">
        <v>3.04</v>
      </c>
      <c r="CB77" s="5">
        <v>16830.099999999999</v>
      </c>
      <c r="CC77" s="5">
        <v>19.55</v>
      </c>
    </row>
    <row r="78" spans="1:81" x14ac:dyDescent="0.2">
      <c r="A78" s="2">
        <v>40664</v>
      </c>
      <c r="B78">
        <v>2011</v>
      </c>
      <c r="C78">
        <v>5</v>
      </c>
      <c r="E78">
        <v>5.8940000000000001</v>
      </c>
      <c r="G78">
        <v>16.579999999999998</v>
      </c>
      <c r="H78">
        <v>3.52</v>
      </c>
      <c r="I78">
        <v>4</v>
      </c>
      <c r="J78">
        <v>4.6673</v>
      </c>
      <c r="K78">
        <v>0.96799999999999997</v>
      </c>
      <c r="L78">
        <v>1.4335</v>
      </c>
      <c r="M78">
        <v>81.125699999999995</v>
      </c>
      <c r="N78">
        <v>6.4957000000000003</v>
      </c>
      <c r="O78">
        <v>1.48088843</v>
      </c>
      <c r="P78">
        <v>83.807541319999999</v>
      </c>
      <c r="Q78">
        <v>6.7104338840000004</v>
      </c>
      <c r="R78">
        <v>2427968</v>
      </c>
      <c r="S78">
        <v>11331958</v>
      </c>
      <c r="T78">
        <v>18814.11</v>
      </c>
      <c r="U78">
        <v>17712.8</v>
      </c>
      <c r="W78">
        <v>4516667.5</v>
      </c>
      <c r="X78">
        <v>26250000</v>
      </c>
      <c r="Y78">
        <v>3281.62</v>
      </c>
      <c r="Z78">
        <v>170.87</v>
      </c>
      <c r="AA78">
        <v>242.24</v>
      </c>
      <c r="AB78">
        <v>86.09</v>
      </c>
      <c r="AC78">
        <v>84.35</v>
      </c>
      <c r="AD78">
        <v>3865.17</v>
      </c>
      <c r="AE78">
        <v>37985628</v>
      </c>
      <c r="AF78">
        <v>3118311</v>
      </c>
      <c r="AG78">
        <v>3848932</v>
      </c>
      <c r="AH78">
        <v>1089053</v>
      </c>
      <c r="AI78">
        <v>1937080</v>
      </c>
      <c r="AJ78">
        <v>47979004</v>
      </c>
      <c r="AK78">
        <v>93</v>
      </c>
      <c r="AL78">
        <v>734</v>
      </c>
      <c r="AM78">
        <v>9</v>
      </c>
      <c r="AN78">
        <v>58</v>
      </c>
      <c r="AO78">
        <v>58</v>
      </c>
      <c r="AP78">
        <v>952</v>
      </c>
      <c r="AQ78">
        <v>1596650</v>
      </c>
      <c r="AR78">
        <v>10846248</v>
      </c>
      <c r="AS78">
        <v>134800</v>
      </c>
      <c r="AT78">
        <v>729545</v>
      </c>
      <c r="AU78">
        <v>1010955</v>
      </c>
      <c r="AV78">
        <v>14318198</v>
      </c>
      <c r="AW78">
        <v>5.25</v>
      </c>
      <c r="AX78">
        <v>8.2799999999999994</v>
      </c>
      <c r="AY78">
        <v>7.21</v>
      </c>
      <c r="AZ78">
        <v>5.74</v>
      </c>
      <c r="BA78">
        <v>5.63</v>
      </c>
      <c r="BB78">
        <v>7.79</v>
      </c>
      <c r="BC78">
        <v>6.7</v>
      </c>
      <c r="BD78">
        <v>6.79</v>
      </c>
      <c r="BE78">
        <v>5.71</v>
      </c>
      <c r="BF78">
        <v>6.82</v>
      </c>
      <c r="BG78">
        <v>0.84899999999999998</v>
      </c>
      <c r="BH78">
        <v>4.4200000000000003E-2</v>
      </c>
      <c r="BI78">
        <v>6.2700000000000006E-2</v>
      </c>
      <c r="BJ78">
        <v>2.23E-2</v>
      </c>
      <c r="BK78">
        <v>9.7699999999999995E-2</v>
      </c>
      <c r="BL78">
        <v>0.77100000000000002</v>
      </c>
      <c r="BM78">
        <v>9.4999999999999998E-3</v>
      </c>
      <c r="BN78">
        <v>6.0900000000000003E-2</v>
      </c>
      <c r="BO78">
        <v>0.28000000000000003</v>
      </c>
      <c r="BP78">
        <v>3.03</v>
      </c>
      <c r="BQ78">
        <v>1.96</v>
      </c>
      <c r="BR78">
        <v>0.49</v>
      </c>
      <c r="BS78">
        <v>4516667.5</v>
      </c>
      <c r="BT78">
        <v>1532962.68</v>
      </c>
      <c r="BU78">
        <v>11.32</v>
      </c>
      <c r="BV78">
        <v>116858.09</v>
      </c>
      <c r="BW78">
        <v>10.32</v>
      </c>
      <c r="BX78">
        <v>35935.305999999997</v>
      </c>
      <c r="BY78">
        <v>7.202637985</v>
      </c>
      <c r="BZ78" s="5">
        <v>39958.82</v>
      </c>
      <c r="CA78" s="5">
        <v>9.4</v>
      </c>
      <c r="CB78" s="5">
        <v>40679.730000000003</v>
      </c>
      <c r="CC78" s="5">
        <v>7.24</v>
      </c>
    </row>
    <row r="79" spans="1:81" x14ac:dyDescent="0.2">
      <c r="A79" s="2">
        <v>40695</v>
      </c>
      <c r="B79">
        <v>2011</v>
      </c>
      <c r="C79">
        <v>6</v>
      </c>
      <c r="E79">
        <v>6.5609999999999999</v>
      </c>
      <c r="F79">
        <v>16.75</v>
      </c>
      <c r="G79">
        <v>17.39</v>
      </c>
      <c r="H79">
        <v>4.03</v>
      </c>
      <c r="I79">
        <v>4.4000000000000004</v>
      </c>
      <c r="J79">
        <v>5.2790999999999997</v>
      </c>
      <c r="K79">
        <v>0.97660000000000002</v>
      </c>
      <c r="L79">
        <v>1.4402999999999999</v>
      </c>
      <c r="M79">
        <v>80.425899999999999</v>
      </c>
      <c r="N79">
        <v>6.4745999999999997</v>
      </c>
      <c r="O79">
        <v>1.474810567</v>
      </c>
      <c r="P79">
        <v>82.352959249999998</v>
      </c>
      <c r="Q79">
        <v>6.6297358180000003</v>
      </c>
      <c r="R79">
        <v>3526325</v>
      </c>
      <c r="S79">
        <v>18615897</v>
      </c>
      <c r="T79">
        <v>12293.42</v>
      </c>
      <c r="U79">
        <v>10693.9</v>
      </c>
      <c r="W79">
        <v>19718750</v>
      </c>
      <c r="X79">
        <v>26250000</v>
      </c>
      <c r="Y79">
        <v>2835.71</v>
      </c>
      <c r="Z79">
        <v>237.77</v>
      </c>
      <c r="AA79">
        <v>314.76</v>
      </c>
      <c r="AB79">
        <v>92.85</v>
      </c>
      <c r="AC79">
        <v>98.28</v>
      </c>
      <c r="AD79">
        <v>3579.37</v>
      </c>
      <c r="AE79">
        <v>36207931</v>
      </c>
      <c r="AF79">
        <v>4012079</v>
      </c>
      <c r="AG79">
        <v>5106607</v>
      </c>
      <c r="AH79">
        <v>1112142</v>
      </c>
      <c r="AI79">
        <v>2185718</v>
      </c>
      <c r="AJ79">
        <v>48624477</v>
      </c>
      <c r="AK79">
        <v>83</v>
      </c>
      <c r="AL79">
        <v>747</v>
      </c>
      <c r="AM79">
        <v>7</v>
      </c>
      <c r="AN79">
        <v>99</v>
      </c>
      <c r="AO79">
        <v>43</v>
      </c>
      <c r="AP79">
        <v>979</v>
      </c>
      <c r="AQ79">
        <v>1406219</v>
      </c>
      <c r="AR79">
        <v>11138582</v>
      </c>
      <c r="AS79">
        <v>120610</v>
      </c>
      <c r="AT79">
        <v>1146897</v>
      </c>
      <c r="AU79">
        <v>741539</v>
      </c>
      <c r="AV79">
        <v>14553847</v>
      </c>
      <c r="AW79">
        <v>5.79</v>
      </c>
      <c r="AX79">
        <v>7.65</v>
      </c>
      <c r="AY79">
        <v>7.36</v>
      </c>
      <c r="AZ79">
        <v>5.43</v>
      </c>
      <c r="BA79">
        <v>6.16</v>
      </c>
      <c r="BB79">
        <v>7.68</v>
      </c>
      <c r="BC79">
        <v>6.76</v>
      </c>
      <c r="BD79">
        <v>7.82</v>
      </c>
      <c r="BE79">
        <v>5.25</v>
      </c>
      <c r="BF79">
        <v>6.74</v>
      </c>
      <c r="BG79">
        <v>0.79220000000000002</v>
      </c>
      <c r="BH79">
        <v>6.6400000000000001E-2</v>
      </c>
      <c r="BI79">
        <v>8.7900000000000006E-2</v>
      </c>
      <c r="BJ79">
        <v>2.5899999999999999E-2</v>
      </c>
      <c r="BK79">
        <v>8.48E-2</v>
      </c>
      <c r="BL79">
        <v>0.76300000000000001</v>
      </c>
      <c r="BM79">
        <v>7.1999999999999998E-3</v>
      </c>
      <c r="BN79">
        <v>0.1011</v>
      </c>
      <c r="BO79">
        <v>-0.68</v>
      </c>
      <c r="BP79">
        <v>1.86</v>
      </c>
      <c r="BQ79">
        <v>1.57</v>
      </c>
      <c r="BR79">
        <v>-0.36</v>
      </c>
      <c r="BS79">
        <v>19718750</v>
      </c>
      <c r="BT79">
        <v>2554647.52</v>
      </c>
      <c r="BU79">
        <v>11.78</v>
      </c>
      <c r="BV79">
        <v>83151.649999999994</v>
      </c>
      <c r="BW79">
        <v>11.55</v>
      </c>
      <c r="BX79">
        <v>89990.383780000004</v>
      </c>
      <c r="BY79">
        <v>4.1657450970000003</v>
      </c>
      <c r="BZ79" s="5">
        <v>379642.94</v>
      </c>
      <c r="CA79" s="5">
        <v>7.69</v>
      </c>
      <c r="CB79" s="5">
        <v>264969.40000000002</v>
      </c>
      <c r="CC79" s="5">
        <v>6.95</v>
      </c>
    </row>
    <row r="80" spans="1:81" x14ac:dyDescent="0.2">
      <c r="A80" s="2">
        <v>40725</v>
      </c>
      <c r="B80">
        <v>2011</v>
      </c>
      <c r="C80">
        <v>7</v>
      </c>
      <c r="E80">
        <v>7.2</v>
      </c>
      <c r="F80">
        <v>17</v>
      </c>
      <c r="G80">
        <v>18.190000000000001</v>
      </c>
      <c r="I80">
        <v>4.1399999999999997</v>
      </c>
      <c r="J80">
        <v>3.7149000000000001</v>
      </c>
      <c r="K80">
        <v>0.95530000000000004</v>
      </c>
      <c r="L80">
        <v>1.4275</v>
      </c>
      <c r="M80">
        <v>79.242500000000007</v>
      </c>
      <c r="N80">
        <v>6.4574999999999996</v>
      </c>
      <c r="O80">
        <v>1.4942949860000001</v>
      </c>
      <c r="P80">
        <v>82.950382079999997</v>
      </c>
      <c r="Q80">
        <v>6.7596566520000003</v>
      </c>
      <c r="R80">
        <v>16645452</v>
      </c>
      <c r="S80">
        <v>61836806</v>
      </c>
      <c r="T80">
        <v>8601.36</v>
      </c>
      <c r="U80">
        <v>1051.0999999999999</v>
      </c>
      <c r="W80">
        <v>18750000</v>
      </c>
      <c r="X80">
        <v>26250000</v>
      </c>
      <c r="Y80">
        <v>1279.94</v>
      </c>
      <c r="Z80">
        <v>205.99</v>
      </c>
      <c r="AA80">
        <v>196.75</v>
      </c>
      <c r="AB80">
        <v>85.71</v>
      </c>
      <c r="AC80">
        <v>88.07</v>
      </c>
      <c r="AD80">
        <v>1856.46</v>
      </c>
      <c r="AE80">
        <v>17362127</v>
      </c>
      <c r="AF80">
        <v>3524088</v>
      </c>
      <c r="AG80">
        <v>3459937</v>
      </c>
      <c r="AH80">
        <v>1054766</v>
      </c>
      <c r="AI80">
        <v>1995429</v>
      </c>
      <c r="AJ80">
        <v>27396347</v>
      </c>
      <c r="AK80">
        <v>66</v>
      </c>
      <c r="AL80">
        <v>719</v>
      </c>
      <c r="AM80">
        <v>7</v>
      </c>
      <c r="AN80">
        <v>3751</v>
      </c>
      <c r="AO80">
        <v>37</v>
      </c>
      <c r="AP80">
        <v>4580</v>
      </c>
      <c r="AQ80">
        <v>1142071</v>
      </c>
      <c r="AR80">
        <v>10826808</v>
      </c>
      <c r="AS80">
        <v>116144</v>
      </c>
      <c r="AT80">
        <v>34663618</v>
      </c>
      <c r="AU80">
        <v>610053</v>
      </c>
      <c r="AV80">
        <v>47358694</v>
      </c>
      <c r="AW80">
        <v>6.15</v>
      </c>
      <c r="AX80">
        <v>7.76</v>
      </c>
      <c r="AY80">
        <v>7.98</v>
      </c>
      <c r="AZ80">
        <v>5.58</v>
      </c>
      <c r="BA80">
        <v>6.69</v>
      </c>
      <c r="BB80">
        <v>7.85</v>
      </c>
      <c r="BC80">
        <v>6.83</v>
      </c>
      <c r="BD80">
        <v>7.53</v>
      </c>
      <c r="BE80">
        <v>4.1900000000000004</v>
      </c>
      <c r="BF80">
        <v>4.6900000000000004</v>
      </c>
      <c r="BG80">
        <v>0.6895</v>
      </c>
      <c r="BH80">
        <v>0.111</v>
      </c>
      <c r="BI80">
        <v>0.106</v>
      </c>
      <c r="BJ80">
        <v>4.6199999999999998E-2</v>
      </c>
      <c r="BK80">
        <v>1.44E-2</v>
      </c>
      <c r="BL80">
        <v>0.157</v>
      </c>
      <c r="BM80">
        <v>1.5E-3</v>
      </c>
      <c r="BN80">
        <v>0.81899999999999995</v>
      </c>
      <c r="BO80">
        <v>-2.25</v>
      </c>
      <c r="BP80">
        <v>1.61</v>
      </c>
      <c r="BQ80">
        <v>1.82</v>
      </c>
      <c r="BR80">
        <v>-0.56999999999999995</v>
      </c>
      <c r="BS80">
        <v>18750000</v>
      </c>
      <c r="BT80">
        <v>1236441.29</v>
      </c>
      <c r="BU80">
        <v>13.19</v>
      </c>
      <c r="BV80">
        <v>1690654.74</v>
      </c>
      <c r="BW80">
        <v>12.28</v>
      </c>
      <c r="BX80">
        <v>1953.29332</v>
      </c>
      <c r="BY80">
        <v>17.47151831</v>
      </c>
      <c r="BZ80" s="5">
        <v>276466.52</v>
      </c>
      <c r="CA80" s="5">
        <v>9.08</v>
      </c>
      <c r="CB80" s="5">
        <v>1605641.19</v>
      </c>
      <c r="CC80" s="5">
        <v>7.09</v>
      </c>
    </row>
    <row r="81" spans="1:81" x14ac:dyDescent="0.2">
      <c r="A81" s="2">
        <v>40756</v>
      </c>
      <c r="B81">
        <v>2011</v>
      </c>
      <c r="C81">
        <v>8</v>
      </c>
      <c r="E81">
        <v>4.5369999999999999</v>
      </c>
      <c r="F81">
        <v>16.36</v>
      </c>
      <c r="G81">
        <v>18.14</v>
      </c>
      <c r="H81">
        <v>3.22</v>
      </c>
      <c r="I81">
        <v>3.54</v>
      </c>
      <c r="J81">
        <v>2.8761999999999999</v>
      </c>
      <c r="K81">
        <v>0.98170000000000002</v>
      </c>
      <c r="L81">
        <v>1.4333</v>
      </c>
      <c r="M81">
        <v>76.965699999999998</v>
      </c>
      <c r="N81">
        <v>6.4036</v>
      </c>
      <c r="O81">
        <v>1.4600183360000001</v>
      </c>
      <c r="P81">
        <v>78.400427829999998</v>
      </c>
      <c r="Q81">
        <v>6.5229703580000002</v>
      </c>
      <c r="R81">
        <v>27292884</v>
      </c>
      <c r="S81">
        <v>78500978</v>
      </c>
      <c r="T81">
        <v>12781.66</v>
      </c>
      <c r="U81">
        <v>401.8</v>
      </c>
      <c r="W81">
        <v>14667808.5</v>
      </c>
      <c r="X81">
        <v>26250000</v>
      </c>
      <c r="Y81">
        <v>736.92</v>
      </c>
      <c r="Z81">
        <v>227.57</v>
      </c>
      <c r="AA81">
        <v>184</v>
      </c>
      <c r="AB81">
        <v>101.59</v>
      </c>
      <c r="AC81">
        <v>77.989999999999995</v>
      </c>
      <c r="AD81">
        <v>1328.07</v>
      </c>
      <c r="AE81">
        <v>10824468</v>
      </c>
      <c r="AF81">
        <v>3884266</v>
      </c>
      <c r="AG81">
        <v>3217221</v>
      </c>
      <c r="AH81">
        <v>828474</v>
      </c>
      <c r="AI81">
        <v>2491934</v>
      </c>
      <c r="AJ81">
        <v>21246363</v>
      </c>
      <c r="AK81">
        <v>121</v>
      </c>
      <c r="AL81">
        <v>881</v>
      </c>
      <c r="AM81">
        <v>9</v>
      </c>
      <c r="AN81">
        <v>6972</v>
      </c>
      <c r="AO81">
        <v>37</v>
      </c>
      <c r="AP81">
        <v>8020</v>
      </c>
      <c r="AQ81">
        <v>2058063</v>
      </c>
      <c r="AR81">
        <v>13744677</v>
      </c>
      <c r="AS81">
        <v>142852</v>
      </c>
      <c r="AT81">
        <v>62180128</v>
      </c>
      <c r="AU81">
        <v>648622</v>
      </c>
      <c r="AV81">
        <v>78774342</v>
      </c>
      <c r="AW81">
        <v>6.66</v>
      </c>
      <c r="AX81">
        <v>7.74</v>
      </c>
      <c r="AY81">
        <v>7.93</v>
      </c>
      <c r="AZ81">
        <v>3.7</v>
      </c>
      <c r="BA81">
        <v>7.26</v>
      </c>
      <c r="BB81">
        <v>7.72</v>
      </c>
      <c r="BC81">
        <v>7.08</v>
      </c>
      <c r="BD81">
        <v>7.2</v>
      </c>
      <c r="BE81">
        <v>4.05</v>
      </c>
      <c r="BF81">
        <v>4.46</v>
      </c>
      <c r="BG81">
        <v>0.55489999999999995</v>
      </c>
      <c r="BH81">
        <v>0.1714</v>
      </c>
      <c r="BI81">
        <v>0.13850000000000001</v>
      </c>
      <c r="BJ81">
        <v>7.6499999999999999E-2</v>
      </c>
      <c r="BK81">
        <v>1.5100000000000001E-2</v>
      </c>
      <c r="BL81">
        <v>0.1099</v>
      </c>
      <c r="BM81">
        <v>1.1000000000000001E-3</v>
      </c>
      <c r="BN81">
        <v>0.86929999999999996</v>
      </c>
      <c r="BO81">
        <v>-2.74</v>
      </c>
      <c r="BP81">
        <v>1.08</v>
      </c>
      <c r="BQ81">
        <v>1.27</v>
      </c>
      <c r="BR81">
        <v>-2.96</v>
      </c>
      <c r="BS81">
        <v>14667808.5</v>
      </c>
      <c r="BT81">
        <v>2158832.25</v>
      </c>
      <c r="BU81">
        <v>11.88</v>
      </c>
      <c r="BV81">
        <v>1725595.76</v>
      </c>
      <c r="BW81">
        <v>13.48</v>
      </c>
      <c r="BX81">
        <v>23710.688099999999</v>
      </c>
      <c r="BY81">
        <v>7.9688113310000004</v>
      </c>
      <c r="BZ81" s="5">
        <v>1779941</v>
      </c>
      <c r="CA81" s="5">
        <v>4.63</v>
      </c>
      <c r="CB81" s="5">
        <v>526323.22</v>
      </c>
      <c r="CC81" s="5">
        <v>8.44</v>
      </c>
    </row>
    <row r="82" spans="1:81" x14ac:dyDescent="0.2">
      <c r="A82" s="2">
        <v>40787</v>
      </c>
      <c r="B82">
        <v>2011</v>
      </c>
      <c r="C82">
        <v>9</v>
      </c>
      <c r="E82">
        <v>4.4169999999999998</v>
      </c>
      <c r="F82">
        <v>15.53</v>
      </c>
      <c r="G82">
        <v>17.559999999999999</v>
      </c>
      <c r="H82">
        <v>3.25</v>
      </c>
      <c r="I82">
        <v>3.5</v>
      </c>
      <c r="J82">
        <v>2.8553999999999999</v>
      </c>
      <c r="K82">
        <v>1.0024999999999999</v>
      </c>
      <c r="L82">
        <v>1.3747</v>
      </c>
      <c r="M82">
        <v>76.795699999999997</v>
      </c>
      <c r="N82">
        <v>6.3884999999999996</v>
      </c>
      <c r="O82">
        <v>1.37127182</v>
      </c>
      <c r="P82">
        <v>76.604189529999999</v>
      </c>
      <c r="Q82">
        <v>6.3725685790000002</v>
      </c>
      <c r="R82">
        <v>20369443</v>
      </c>
      <c r="S82">
        <v>58163004</v>
      </c>
      <c r="T82">
        <v>9641.23</v>
      </c>
      <c r="U82">
        <v>401.8</v>
      </c>
      <c r="W82">
        <v>7917186.7999999998</v>
      </c>
      <c r="X82">
        <v>26250000</v>
      </c>
      <c r="Y82">
        <v>223.79</v>
      </c>
      <c r="Z82">
        <v>182.64</v>
      </c>
      <c r="AA82">
        <v>136.35</v>
      </c>
      <c r="AB82">
        <v>69.3</v>
      </c>
      <c r="AC82">
        <v>86.53</v>
      </c>
      <c r="AD82">
        <v>698.61</v>
      </c>
      <c r="AE82">
        <v>3467702</v>
      </c>
      <c r="AF82">
        <v>3193243</v>
      </c>
      <c r="AG82">
        <v>2522467</v>
      </c>
      <c r="AH82">
        <v>1098351</v>
      </c>
      <c r="AI82">
        <v>1790870</v>
      </c>
      <c r="AJ82">
        <v>12072633</v>
      </c>
      <c r="AK82">
        <v>267</v>
      </c>
      <c r="AL82">
        <v>880</v>
      </c>
      <c r="AM82">
        <v>69</v>
      </c>
      <c r="AN82">
        <v>5184</v>
      </c>
      <c r="AO82">
        <v>92</v>
      </c>
      <c r="AP82">
        <v>6492</v>
      </c>
      <c r="AQ82">
        <v>4499380</v>
      </c>
      <c r="AR82">
        <v>13413401</v>
      </c>
      <c r="AS82">
        <v>907191</v>
      </c>
      <c r="AT82">
        <v>46520416</v>
      </c>
      <c r="AU82">
        <v>1966757</v>
      </c>
      <c r="AV82">
        <v>67307145</v>
      </c>
      <c r="AW82">
        <v>7.03</v>
      </c>
      <c r="AX82">
        <v>7.93</v>
      </c>
      <c r="AY82">
        <v>8.39</v>
      </c>
      <c r="AZ82">
        <v>7.19</v>
      </c>
      <c r="BA82">
        <v>7.84</v>
      </c>
      <c r="BB82">
        <v>7.64</v>
      </c>
      <c r="BC82">
        <v>6.91</v>
      </c>
      <c r="BD82">
        <v>5.96</v>
      </c>
      <c r="BE82">
        <v>4.07</v>
      </c>
      <c r="BF82">
        <v>4.7</v>
      </c>
      <c r="BG82">
        <v>0.32029999999999997</v>
      </c>
      <c r="BH82">
        <v>0.26140000000000002</v>
      </c>
      <c r="BI82">
        <v>0.19520000000000001</v>
      </c>
      <c r="BJ82">
        <v>9.9199999999999997E-2</v>
      </c>
      <c r="BK82">
        <v>4.1099999999999998E-2</v>
      </c>
      <c r="BL82">
        <v>0.1356</v>
      </c>
      <c r="BM82">
        <v>1.06E-2</v>
      </c>
      <c r="BN82">
        <v>0.79849999999999999</v>
      </c>
      <c r="BO82">
        <v>-2.94</v>
      </c>
      <c r="BP82">
        <v>0.9</v>
      </c>
      <c r="BQ82">
        <v>1.36</v>
      </c>
      <c r="BR82">
        <v>0.16</v>
      </c>
      <c r="BS82">
        <v>7917186.7999999998</v>
      </c>
      <c r="BT82">
        <v>1721605.39</v>
      </c>
      <c r="BU82">
        <v>11.27</v>
      </c>
      <c r="BV82">
        <v>42319.89</v>
      </c>
      <c r="BW82">
        <v>9.75</v>
      </c>
      <c r="BX82">
        <v>74780.710399999996</v>
      </c>
      <c r="BY82">
        <v>7.2658175759999999</v>
      </c>
      <c r="BZ82" s="5">
        <v>1374777.33</v>
      </c>
      <c r="CA82" s="5">
        <v>4.99</v>
      </c>
      <c r="CB82" s="5">
        <v>651847.92000000004</v>
      </c>
      <c r="CC82" s="5">
        <v>7.16</v>
      </c>
    </row>
    <row r="83" spans="1:81" x14ac:dyDescent="0.2">
      <c r="A83" s="2">
        <v>40817</v>
      </c>
      <c r="B83">
        <v>2011</v>
      </c>
      <c r="C83">
        <v>10</v>
      </c>
      <c r="E83">
        <v>4.375</v>
      </c>
      <c r="F83">
        <v>15.44</v>
      </c>
      <c r="G83">
        <v>17.5</v>
      </c>
      <c r="H83">
        <v>3.25</v>
      </c>
      <c r="I83">
        <v>3.5</v>
      </c>
      <c r="J83">
        <v>2.9047000000000001</v>
      </c>
      <c r="K83">
        <v>1.0198</v>
      </c>
      <c r="L83">
        <v>1.3732</v>
      </c>
      <c r="M83">
        <v>76.643000000000001</v>
      </c>
      <c r="N83">
        <v>6.3710000000000004</v>
      </c>
      <c r="O83">
        <v>1.346538537</v>
      </c>
      <c r="P83">
        <v>75.154932340000002</v>
      </c>
      <c r="Q83">
        <v>6.2473033930000001</v>
      </c>
      <c r="R83">
        <v>18224545</v>
      </c>
      <c r="S83">
        <v>52936595</v>
      </c>
      <c r="T83">
        <v>9177.52</v>
      </c>
      <c r="U83">
        <v>911</v>
      </c>
      <c r="W83">
        <v>3400000</v>
      </c>
      <c r="X83">
        <v>26250000</v>
      </c>
      <c r="Y83">
        <v>267.64</v>
      </c>
      <c r="Z83">
        <v>147.4</v>
      </c>
      <c r="AA83">
        <v>151.21</v>
      </c>
      <c r="AB83">
        <v>69.22</v>
      </c>
      <c r="AC83">
        <v>76.69</v>
      </c>
      <c r="AD83">
        <v>712.16</v>
      </c>
      <c r="AE83">
        <v>3493284</v>
      </c>
      <c r="AF83">
        <v>2609321</v>
      </c>
      <c r="AG83">
        <v>2634266</v>
      </c>
      <c r="AH83">
        <v>1109684</v>
      </c>
      <c r="AI83">
        <v>1625777</v>
      </c>
      <c r="AJ83">
        <v>11472332</v>
      </c>
      <c r="AK83">
        <v>288</v>
      </c>
      <c r="AL83">
        <v>774</v>
      </c>
      <c r="AM83">
        <v>54</v>
      </c>
      <c r="AN83">
        <v>4699</v>
      </c>
      <c r="AO83">
        <v>134</v>
      </c>
      <c r="AP83">
        <v>5949</v>
      </c>
      <c r="AQ83">
        <v>4890288</v>
      </c>
      <c r="AR83">
        <v>11692838</v>
      </c>
      <c r="AS83">
        <v>942284</v>
      </c>
      <c r="AT83">
        <v>41273862</v>
      </c>
      <c r="AU83">
        <v>2452539</v>
      </c>
      <c r="AV83">
        <v>61251811</v>
      </c>
      <c r="AW83">
        <v>5.92</v>
      </c>
      <c r="AX83">
        <v>8.0299999999999994</v>
      </c>
      <c r="AY83">
        <v>7.9</v>
      </c>
      <c r="AZ83">
        <v>7.27</v>
      </c>
      <c r="BA83">
        <v>7.31</v>
      </c>
      <c r="BB83">
        <v>7.7</v>
      </c>
      <c r="BC83">
        <v>6.85</v>
      </c>
      <c r="BD83">
        <v>7.92</v>
      </c>
      <c r="BE83">
        <v>3.98</v>
      </c>
      <c r="BF83">
        <v>4.67</v>
      </c>
      <c r="BG83">
        <v>0.37580000000000002</v>
      </c>
      <c r="BH83">
        <v>0.20699999999999999</v>
      </c>
      <c r="BI83">
        <v>0.21229999999999999</v>
      </c>
      <c r="BJ83">
        <v>9.7199999999999995E-2</v>
      </c>
      <c r="BK83">
        <v>4.8399999999999999E-2</v>
      </c>
      <c r="BL83">
        <v>0.13009999999999999</v>
      </c>
      <c r="BM83">
        <v>9.1000000000000004E-3</v>
      </c>
      <c r="BN83">
        <v>0.78990000000000005</v>
      </c>
      <c r="BO83">
        <v>-1.82</v>
      </c>
      <c r="BP83">
        <v>2.11</v>
      </c>
      <c r="BQ83">
        <v>1.98</v>
      </c>
      <c r="BR83">
        <v>1.35</v>
      </c>
      <c r="BS83">
        <v>3400000</v>
      </c>
      <c r="BT83">
        <v>1595871.51</v>
      </c>
      <c r="BU83">
        <v>11.37</v>
      </c>
      <c r="BV83">
        <v>1261.04</v>
      </c>
      <c r="BW83">
        <v>12.63</v>
      </c>
      <c r="BX83">
        <v>89800.786460000003</v>
      </c>
      <c r="BY83">
        <v>4.8725074380000004</v>
      </c>
      <c r="BZ83" s="5">
        <v>489880.77</v>
      </c>
      <c r="CA83" s="5">
        <v>7.42</v>
      </c>
      <c r="CB83" s="5">
        <v>517689.91</v>
      </c>
      <c r="CC83" s="5">
        <v>6.43</v>
      </c>
    </row>
    <row r="84" spans="1:81" x14ac:dyDescent="0.2">
      <c r="A84" s="2">
        <v>40848</v>
      </c>
      <c r="B84">
        <v>2011</v>
      </c>
      <c r="C84">
        <v>11</v>
      </c>
      <c r="E84">
        <v>4.056</v>
      </c>
      <c r="F84">
        <v>14.97</v>
      </c>
      <c r="G84">
        <v>17.5</v>
      </c>
      <c r="J84">
        <v>2.8227000000000002</v>
      </c>
      <c r="K84">
        <v>1.0247999999999999</v>
      </c>
      <c r="L84">
        <v>1.3557999999999999</v>
      </c>
      <c r="M84">
        <v>77.5595</v>
      </c>
      <c r="N84">
        <v>6.3563999999999998</v>
      </c>
      <c r="O84">
        <v>1.3229898520000001</v>
      </c>
      <c r="P84">
        <v>75.682572210000004</v>
      </c>
      <c r="Q84">
        <v>6.202576112</v>
      </c>
      <c r="R84">
        <v>9735352</v>
      </c>
      <c r="S84">
        <v>27480365</v>
      </c>
      <c r="T84">
        <v>6321.69</v>
      </c>
      <c r="U84">
        <v>1905.8</v>
      </c>
      <c r="W84">
        <v>4843750</v>
      </c>
      <c r="X84">
        <v>26250000</v>
      </c>
      <c r="Y84">
        <v>979.94</v>
      </c>
      <c r="Z84">
        <v>192.34</v>
      </c>
      <c r="AA84">
        <v>141.84</v>
      </c>
      <c r="AB84">
        <v>102.71</v>
      </c>
      <c r="AC84">
        <v>81.55</v>
      </c>
      <c r="AD84">
        <v>1498.38</v>
      </c>
      <c r="AE84">
        <v>10460743</v>
      </c>
      <c r="AF84">
        <v>3287124</v>
      </c>
      <c r="AG84">
        <v>2115717</v>
      </c>
      <c r="AH84">
        <v>935667</v>
      </c>
      <c r="AI84">
        <v>2049307</v>
      </c>
      <c r="AJ84">
        <v>18848558</v>
      </c>
      <c r="AK84">
        <v>273</v>
      </c>
      <c r="AL84">
        <v>839</v>
      </c>
      <c r="AM84">
        <v>50</v>
      </c>
      <c r="AN84">
        <v>2210</v>
      </c>
      <c r="AO84">
        <v>136</v>
      </c>
      <c r="AP84">
        <v>3508</v>
      </c>
      <c r="AQ84">
        <v>5190981</v>
      </c>
      <c r="AR84">
        <v>12562197</v>
      </c>
      <c r="AS84">
        <v>702477</v>
      </c>
      <c r="AT84">
        <v>21552748</v>
      </c>
      <c r="AU84">
        <v>2693761</v>
      </c>
      <c r="AV84">
        <v>42702164</v>
      </c>
      <c r="AW84">
        <v>4.84</v>
      </c>
      <c r="AX84">
        <v>7.75</v>
      </c>
      <c r="AY84">
        <v>6.77</v>
      </c>
      <c r="AZ84">
        <v>4.13</v>
      </c>
      <c r="BA84">
        <v>5.71</v>
      </c>
      <c r="BB84">
        <v>8.6199999999999992</v>
      </c>
      <c r="BC84">
        <v>6.79</v>
      </c>
      <c r="BD84">
        <v>6.37</v>
      </c>
      <c r="BE84">
        <v>4.42</v>
      </c>
      <c r="BF84">
        <v>5.52</v>
      </c>
      <c r="BG84">
        <v>0.65400000000000003</v>
      </c>
      <c r="BH84">
        <v>0.12839999999999999</v>
      </c>
      <c r="BI84">
        <v>9.4700000000000006E-2</v>
      </c>
      <c r="BJ84">
        <v>6.8500000000000005E-2</v>
      </c>
      <c r="BK84">
        <v>7.7799999999999994E-2</v>
      </c>
      <c r="BL84">
        <v>0.2392</v>
      </c>
      <c r="BM84">
        <v>1.43E-2</v>
      </c>
      <c r="BN84">
        <v>0.63</v>
      </c>
      <c r="BO84">
        <v>-0.3</v>
      </c>
      <c r="BP84">
        <v>2.91</v>
      </c>
      <c r="BQ84">
        <v>1.92</v>
      </c>
      <c r="BR84">
        <v>-0.71</v>
      </c>
      <c r="BS84">
        <v>4843750</v>
      </c>
      <c r="BT84">
        <v>1435432.49</v>
      </c>
      <c r="BU84">
        <v>10.34</v>
      </c>
      <c r="BV84">
        <v>571827.72</v>
      </c>
      <c r="BW84">
        <v>11.06</v>
      </c>
      <c r="BX84">
        <v>24621.19616</v>
      </c>
      <c r="BY84">
        <v>5.2517757119999997</v>
      </c>
      <c r="BZ84" s="5">
        <v>800375.67</v>
      </c>
      <c r="CA84" s="5">
        <v>4.43</v>
      </c>
      <c r="CB84" s="5">
        <v>440697.81</v>
      </c>
      <c r="CC84" s="5">
        <v>6.5</v>
      </c>
    </row>
    <row r="85" spans="1:81" x14ac:dyDescent="0.2">
      <c r="A85" s="2">
        <v>40878</v>
      </c>
      <c r="B85">
        <v>2011</v>
      </c>
      <c r="C85">
        <v>12</v>
      </c>
      <c r="E85">
        <v>4.9779999999999998</v>
      </c>
      <c r="F85">
        <v>14.5</v>
      </c>
      <c r="G85">
        <v>17.309999999999999</v>
      </c>
      <c r="I85">
        <v>3.46</v>
      </c>
      <c r="J85">
        <v>3.1141999999999999</v>
      </c>
      <c r="K85">
        <v>1.0235000000000001</v>
      </c>
      <c r="L85">
        <v>1.3154999999999999</v>
      </c>
      <c r="M85">
        <v>77.796700000000001</v>
      </c>
      <c r="N85">
        <v>6.3482000000000003</v>
      </c>
      <c r="O85">
        <v>1.285295554</v>
      </c>
      <c r="P85">
        <v>76.010454319999994</v>
      </c>
      <c r="Q85">
        <v>6.2024425990000003</v>
      </c>
      <c r="R85">
        <v>3750792</v>
      </c>
      <c r="S85">
        <v>11680856</v>
      </c>
      <c r="T85">
        <v>18075.73</v>
      </c>
      <c r="U85">
        <v>16374.4</v>
      </c>
      <c r="W85">
        <v>18750000</v>
      </c>
      <c r="X85">
        <v>26250000</v>
      </c>
      <c r="Y85">
        <v>5424.2</v>
      </c>
      <c r="Z85">
        <v>270.26</v>
      </c>
      <c r="AA85">
        <v>795.96</v>
      </c>
      <c r="AB85">
        <v>148.79</v>
      </c>
      <c r="AC85">
        <v>143.69999999999999</v>
      </c>
      <c r="AD85">
        <v>6782.91</v>
      </c>
      <c r="AE85">
        <v>55499558</v>
      </c>
      <c r="AF85">
        <v>4612277</v>
      </c>
      <c r="AG85">
        <v>11652079</v>
      </c>
      <c r="AH85">
        <v>1557638</v>
      </c>
      <c r="AI85">
        <v>3147758</v>
      </c>
      <c r="AJ85">
        <v>76469310</v>
      </c>
      <c r="AK85">
        <v>198</v>
      </c>
      <c r="AL85">
        <v>2244</v>
      </c>
      <c r="AM85">
        <v>62</v>
      </c>
      <c r="AN85">
        <v>522</v>
      </c>
      <c r="AO85">
        <v>93</v>
      </c>
      <c r="AP85">
        <v>3119</v>
      </c>
      <c r="AQ85">
        <v>3530563</v>
      </c>
      <c r="AR85">
        <v>34281058</v>
      </c>
      <c r="AS85">
        <v>951182</v>
      </c>
      <c r="AT85">
        <v>4689259</v>
      </c>
      <c r="AU85">
        <v>1583338</v>
      </c>
      <c r="AV85">
        <v>45035400</v>
      </c>
      <c r="AW85">
        <v>4.6399999999999997</v>
      </c>
      <c r="AX85">
        <v>7.74</v>
      </c>
      <c r="AY85">
        <v>6.64</v>
      </c>
      <c r="AZ85">
        <v>4.75</v>
      </c>
      <c r="BA85">
        <v>5.1100000000000003</v>
      </c>
      <c r="BB85">
        <v>8.09</v>
      </c>
      <c r="BC85">
        <v>6.93</v>
      </c>
      <c r="BD85">
        <v>6.96</v>
      </c>
      <c r="BE85">
        <v>4.07</v>
      </c>
      <c r="BF85">
        <v>6.55</v>
      </c>
      <c r="BG85">
        <v>0.79969999999999997</v>
      </c>
      <c r="BH85">
        <v>3.9800000000000002E-2</v>
      </c>
      <c r="BI85">
        <v>0.1173</v>
      </c>
      <c r="BJ85">
        <v>2.1899999999999999E-2</v>
      </c>
      <c r="BK85">
        <v>6.3500000000000001E-2</v>
      </c>
      <c r="BL85">
        <v>0.71950000000000003</v>
      </c>
      <c r="BM85">
        <v>1.9900000000000001E-2</v>
      </c>
      <c r="BN85">
        <v>0.16739999999999999</v>
      </c>
      <c r="BO85">
        <v>-0.46</v>
      </c>
      <c r="BP85">
        <v>3.1</v>
      </c>
      <c r="BQ85">
        <v>2</v>
      </c>
      <c r="BR85">
        <v>0.11</v>
      </c>
      <c r="BS85">
        <v>18750000</v>
      </c>
      <c r="BT85">
        <v>1964878.6</v>
      </c>
      <c r="BU85">
        <v>10.37</v>
      </c>
      <c r="BV85">
        <v>15489.66</v>
      </c>
      <c r="BW85">
        <v>10.74</v>
      </c>
      <c r="BZ85" s="5">
        <v>193506.5</v>
      </c>
      <c r="CA85" s="5">
        <v>10.4</v>
      </c>
      <c r="CB85" s="5">
        <v>83246.62</v>
      </c>
      <c r="CC85" s="5">
        <v>6.29</v>
      </c>
    </row>
    <row r="86" spans="1:81" x14ac:dyDescent="0.2">
      <c r="A86" s="2">
        <v>40909</v>
      </c>
      <c r="B86">
        <v>2012</v>
      </c>
      <c r="C86">
        <v>1</v>
      </c>
      <c r="E86">
        <v>5.7</v>
      </c>
      <c r="F86">
        <v>14.5</v>
      </c>
      <c r="G86">
        <v>17.309999999999999</v>
      </c>
      <c r="I86">
        <v>4.82</v>
      </c>
      <c r="J86">
        <v>3.9706999999999999</v>
      </c>
      <c r="K86">
        <v>1.0129999999999999</v>
      </c>
      <c r="L86">
        <v>1.2909999999999999</v>
      </c>
      <c r="M86">
        <v>76.963999999999999</v>
      </c>
      <c r="N86">
        <v>6.3171999999999997</v>
      </c>
      <c r="O86">
        <v>1.2744323790000001</v>
      </c>
      <c r="P86">
        <v>75.976308000000003</v>
      </c>
      <c r="Q86">
        <v>6.2361303059999997</v>
      </c>
      <c r="R86">
        <v>1349746</v>
      </c>
      <c r="S86">
        <v>5359503</v>
      </c>
      <c r="T86">
        <v>8735.64</v>
      </c>
      <c r="U86">
        <v>8123.4</v>
      </c>
      <c r="W86">
        <v>15625000</v>
      </c>
      <c r="X86">
        <v>26250000</v>
      </c>
      <c r="Y86">
        <v>1931.69</v>
      </c>
      <c r="Z86">
        <v>342.88</v>
      </c>
      <c r="AA86">
        <v>123.86</v>
      </c>
      <c r="AB86">
        <v>96.65</v>
      </c>
      <c r="AC86">
        <v>58.55</v>
      </c>
      <c r="AD86">
        <v>2553.63</v>
      </c>
      <c r="AE86">
        <v>22307004</v>
      </c>
      <c r="AF86">
        <v>5766675</v>
      </c>
      <c r="AG86">
        <v>1899110</v>
      </c>
      <c r="AH86">
        <v>559212</v>
      </c>
      <c r="AI86">
        <v>2072988</v>
      </c>
      <c r="AJ86">
        <v>32604989</v>
      </c>
      <c r="AK86">
        <v>234</v>
      </c>
      <c r="AL86">
        <v>578</v>
      </c>
      <c r="AM86">
        <v>36</v>
      </c>
      <c r="AN86">
        <v>102</v>
      </c>
      <c r="AO86">
        <v>101</v>
      </c>
      <c r="AP86">
        <v>1051</v>
      </c>
      <c r="AQ86">
        <v>3911403</v>
      </c>
      <c r="AR86">
        <v>8665777</v>
      </c>
      <c r="AS86">
        <v>686176</v>
      </c>
      <c r="AT86">
        <v>990998</v>
      </c>
      <c r="AU86">
        <v>1675313</v>
      </c>
      <c r="AV86">
        <v>15929667</v>
      </c>
      <c r="AW86">
        <v>5.24</v>
      </c>
      <c r="AX86">
        <v>7.63</v>
      </c>
      <c r="AY86">
        <v>6.95</v>
      </c>
      <c r="AZ86">
        <v>2.62</v>
      </c>
      <c r="BA86">
        <v>5.79</v>
      </c>
      <c r="BB86">
        <v>7.58</v>
      </c>
      <c r="BC86">
        <v>6.8</v>
      </c>
      <c r="BD86">
        <v>8.65</v>
      </c>
      <c r="BE86">
        <v>4.41</v>
      </c>
      <c r="BF86">
        <v>6.87</v>
      </c>
      <c r="BG86">
        <v>0.75639999999999996</v>
      </c>
      <c r="BH86">
        <v>0.1343</v>
      </c>
      <c r="BI86">
        <v>4.8500000000000001E-2</v>
      </c>
      <c r="BJ86">
        <v>3.78E-2</v>
      </c>
      <c r="BK86">
        <v>0.22259999999999999</v>
      </c>
      <c r="BL86">
        <v>0.55000000000000004</v>
      </c>
      <c r="BM86">
        <v>3.4299999999999997E-2</v>
      </c>
      <c r="BN86">
        <v>9.7100000000000006E-2</v>
      </c>
      <c r="BO86">
        <v>-0.76</v>
      </c>
      <c r="BP86">
        <v>2.39</v>
      </c>
      <c r="BQ86">
        <v>1.72</v>
      </c>
      <c r="BR86">
        <v>-2.61</v>
      </c>
      <c r="BS86">
        <v>15625000</v>
      </c>
      <c r="BT86">
        <v>830559.72</v>
      </c>
      <c r="BU86">
        <v>12.22</v>
      </c>
      <c r="BV86">
        <v>317665.90000000002</v>
      </c>
      <c r="BW86">
        <v>11.12</v>
      </c>
      <c r="BX86">
        <v>1104.5146199999999</v>
      </c>
      <c r="BY86">
        <v>19.27634059</v>
      </c>
      <c r="BZ86" s="5">
        <v>81253.64</v>
      </c>
      <c r="CA86" s="5">
        <v>20.059999999999999</v>
      </c>
      <c r="CB86" s="5">
        <v>9173.44</v>
      </c>
      <c r="CC86" s="5">
        <v>11.8</v>
      </c>
    </row>
    <row r="87" spans="1:81" x14ac:dyDescent="0.2">
      <c r="A87" s="2">
        <v>40940</v>
      </c>
      <c r="B87">
        <v>2012</v>
      </c>
      <c r="C87">
        <v>2</v>
      </c>
      <c r="E87">
        <v>6.6379999999999999</v>
      </c>
      <c r="F87">
        <v>14.72</v>
      </c>
      <c r="G87">
        <v>17.809999999999999</v>
      </c>
      <c r="I87">
        <v>5.5</v>
      </c>
      <c r="J87">
        <v>5.0430999999999999</v>
      </c>
      <c r="K87">
        <v>0.99670000000000003</v>
      </c>
      <c r="L87">
        <v>1.3238000000000001</v>
      </c>
      <c r="M87">
        <v>78.47</v>
      </c>
      <c r="N87">
        <v>6.2996999999999996</v>
      </c>
      <c r="O87">
        <v>1.328183004</v>
      </c>
      <c r="P87">
        <v>78.729808370000001</v>
      </c>
      <c r="Q87">
        <v>6.3205578410000003</v>
      </c>
      <c r="R87">
        <v>783866</v>
      </c>
      <c r="S87">
        <v>3953093</v>
      </c>
      <c r="T87">
        <v>517.11</v>
      </c>
      <c r="U87">
        <v>161.55000000000001</v>
      </c>
      <c r="W87">
        <v>11500000</v>
      </c>
      <c r="X87">
        <v>26250000</v>
      </c>
      <c r="Y87">
        <v>2020.37</v>
      </c>
      <c r="Z87">
        <v>196.66</v>
      </c>
      <c r="AA87">
        <v>166.95</v>
      </c>
      <c r="AB87">
        <v>73.91</v>
      </c>
      <c r="AC87">
        <v>76.98</v>
      </c>
      <c r="AD87">
        <v>2534.87</v>
      </c>
      <c r="AE87">
        <v>25359595</v>
      </c>
      <c r="AF87">
        <v>3438204</v>
      </c>
      <c r="AG87">
        <v>2754016</v>
      </c>
      <c r="AH87">
        <v>874460</v>
      </c>
      <c r="AI87">
        <v>1785293</v>
      </c>
      <c r="AJ87">
        <v>34211568</v>
      </c>
      <c r="AK87">
        <v>135</v>
      </c>
      <c r="AL87">
        <v>576</v>
      </c>
      <c r="AM87">
        <v>15</v>
      </c>
      <c r="AN87">
        <v>38</v>
      </c>
      <c r="AO87">
        <v>91</v>
      </c>
      <c r="AP87">
        <v>855</v>
      </c>
      <c r="AQ87">
        <v>2319427</v>
      </c>
      <c r="AR87">
        <v>8713706</v>
      </c>
      <c r="AS87">
        <v>242546</v>
      </c>
      <c r="AT87">
        <v>353381</v>
      </c>
      <c r="AU87">
        <v>1540047</v>
      </c>
      <c r="AV87">
        <v>13169107</v>
      </c>
      <c r="AW87">
        <v>5.69</v>
      </c>
      <c r="AX87">
        <v>7.93</v>
      </c>
      <c r="AY87">
        <v>7.48</v>
      </c>
      <c r="AZ87">
        <v>5.37</v>
      </c>
      <c r="BA87">
        <v>6.12</v>
      </c>
      <c r="BB87">
        <v>7.79</v>
      </c>
      <c r="BC87">
        <v>6.86</v>
      </c>
      <c r="BD87">
        <v>7.33</v>
      </c>
      <c r="BE87">
        <v>4.22</v>
      </c>
      <c r="BF87">
        <v>6.99</v>
      </c>
      <c r="BG87">
        <v>0.79700000000000004</v>
      </c>
      <c r="BH87">
        <v>7.7600000000000002E-2</v>
      </c>
      <c r="BI87">
        <v>6.59E-2</v>
      </c>
      <c r="BJ87">
        <v>2.92E-2</v>
      </c>
      <c r="BK87">
        <v>0.15790000000000001</v>
      </c>
      <c r="BL87">
        <v>0.67369999999999997</v>
      </c>
      <c r="BM87">
        <v>1.7500000000000002E-2</v>
      </c>
      <c r="BN87">
        <v>4.4400000000000002E-2</v>
      </c>
      <c r="BO87">
        <v>-1.49</v>
      </c>
      <c r="BP87">
        <v>2.2400000000000002</v>
      </c>
      <c r="BQ87">
        <v>1.79</v>
      </c>
      <c r="BR87">
        <v>-0.33</v>
      </c>
      <c r="BS87">
        <v>11500000</v>
      </c>
      <c r="BT87">
        <v>258553.42</v>
      </c>
      <c r="BU87">
        <v>10.16</v>
      </c>
      <c r="BV87">
        <v>143.30000000000001</v>
      </c>
      <c r="BW87">
        <v>15.09</v>
      </c>
      <c r="BX87">
        <v>6064.9096200000004</v>
      </c>
      <c r="BY87">
        <v>8.4172730009999999</v>
      </c>
      <c r="BZ87" s="5">
        <v>103998.75</v>
      </c>
      <c r="CA87" s="5">
        <v>3.83</v>
      </c>
      <c r="CB87" s="5">
        <v>0</v>
      </c>
      <c r="CC87" s="5">
        <v>0</v>
      </c>
    </row>
    <row r="88" spans="1:81" x14ac:dyDescent="0.2">
      <c r="A88" s="2">
        <v>40969</v>
      </c>
      <c r="B88">
        <v>2012</v>
      </c>
      <c r="C88">
        <v>3</v>
      </c>
      <c r="E88">
        <v>7.4169999999999998</v>
      </c>
      <c r="F88">
        <v>14.75</v>
      </c>
      <c r="G88">
        <v>18.079999999999998</v>
      </c>
      <c r="I88">
        <v>5.88</v>
      </c>
      <c r="J88">
        <v>6.3061999999999996</v>
      </c>
      <c r="K88">
        <v>0.99380000000000002</v>
      </c>
      <c r="L88">
        <v>1.3208</v>
      </c>
      <c r="M88">
        <v>82.465900000000005</v>
      </c>
      <c r="N88">
        <v>6.3125</v>
      </c>
      <c r="O88">
        <v>1.329040048</v>
      </c>
      <c r="P88">
        <v>82.980378349999995</v>
      </c>
      <c r="Q88">
        <v>6.3518816659999997</v>
      </c>
      <c r="R88">
        <v>609825</v>
      </c>
      <c r="S88">
        <v>3845687</v>
      </c>
      <c r="T88">
        <v>438.16</v>
      </c>
      <c r="U88">
        <v>161.55000000000001</v>
      </c>
      <c r="W88">
        <v>6062500</v>
      </c>
      <c r="X88">
        <v>26250000</v>
      </c>
      <c r="Y88">
        <v>1965.3</v>
      </c>
      <c r="Z88">
        <v>246.32</v>
      </c>
      <c r="AA88">
        <v>149.76</v>
      </c>
      <c r="AB88">
        <v>98.94</v>
      </c>
      <c r="AC88">
        <v>93.35</v>
      </c>
      <c r="AD88">
        <v>2553.67</v>
      </c>
      <c r="AE88">
        <v>28194207</v>
      </c>
      <c r="AF88">
        <v>4255034</v>
      </c>
      <c r="AG88">
        <v>2572849</v>
      </c>
      <c r="AH88">
        <v>1143380</v>
      </c>
      <c r="AI88">
        <v>2188542</v>
      </c>
      <c r="AJ88">
        <v>38354012</v>
      </c>
      <c r="AK88">
        <v>111</v>
      </c>
      <c r="AL88">
        <v>622</v>
      </c>
      <c r="AM88">
        <v>33</v>
      </c>
      <c r="AN88">
        <v>7</v>
      </c>
      <c r="AO88">
        <v>90</v>
      </c>
      <c r="AP88">
        <v>863</v>
      </c>
      <c r="AQ88">
        <v>2006708</v>
      </c>
      <c r="AR88">
        <v>9103140</v>
      </c>
      <c r="AS88">
        <v>638522</v>
      </c>
      <c r="AT88">
        <v>80937</v>
      </c>
      <c r="AU88">
        <v>1538045</v>
      </c>
      <c r="AV88">
        <v>13367352</v>
      </c>
      <c r="AW88">
        <v>6.51</v>
      </c>
      <c r="AX88">
        <v>7.84</v>
      </c>
      <c r="AY88">
        <v>7.79</v>
      </c>
      <c r="AZ88">
        <v>5.24</v>
      </c>
      <c r="BA88">
        <v>6.81</v>
      </c>
      <c r="BB88">
        <v>8.1999999999999993</v>
      </c>
      <c r="BC88">
        <v>6.64</v>
      </c>
      <c r="BD88">
        <v>8.7799999999999994</v>
      </c>
      <c r="BE88">
        <v>5.24</v>
      </c>
      <c r="BF88">
        <v>7.03</v>
      </c>
      <c r="BG88">
        <v>0.76959999999999995</v>
      </c>
      <c r="BH88">
        <v>9.6500000000000002E-2</v>
      </c>
      <c r="BI88">
        <v>5.8599999999999999E-2</v>
      </c>
      <c r="BJ88">
        <v>3.8699999999999998E-2</v>
      </c>
      <c r="BK88">
        <v>0.12859999999999999</v>
      </c>
      <c r="BL88">
        <v>0.72070000000000001</v>
      </c>
      <c r="BM88">
        <v>3.8199999999999998E-2</v>
      </c>
      <c r="BN88">
        <v>8.0999999999999996E-3</v>
      </c>
      <c r="BO88">
        <v>-1.3</v>
      </c>
      <c r="BP88">
        <v>1.33</v>
      </c>
      <c r="BQ88">
        <v>1.29</v>
      </c>
      <c r="BR88">
        <v>-1.27</v>
      </c>
      <c r="BS88">
        <v>6062500</v>
      </c>
      <c r="BT88">
        <v>67518.69</v>
      </c>
      <c r="BU88">
        <v>13.07</v>
      </c>
      <c r="BV88">
        <v>481929.93</v>
      </c>
      <c r="BW88">
        <v>8.74</v>
      </c>
      <c r="BX88">
        <v>5277.8602799999999</v>
      </c>
      <c r="BY88">
        <v>3.7727410250000002</v>
      </c>
      <c r="BZ88" s="5">
        <v>12213.62</v>
      </c>
      <c r="CA88" s="5">
        <v>10.3</v>
      </c>
      <c r="CB88" s="5">
        <v>21190.85</v>
      </c>
      <c r="CC88" s="5">
        <v>5.94</v>
      </c>
    </row>
    <row r="89" spans="1:81" x14ac:dyDescent="0.2">
      <c r="A89" s="2">
        <v>41000</v>
      </c>
      <c r="B89">
        <v>2012</v>
      </c>
      <c r="C89">
        <v>4</v>
      </c>
      <c r="E89">
        <v>7.0750000000000002</v>
      </c>
      <c r="F89">
        <v>14.75</v>
      </c>
      <c r="G89">
        <v>18.5</v>
      </c>
      <c r="I89">
        <v>5.38</v>
      </c>
      <c r="J89">
        <v>5.5782999999999996</v>
      </c>
      <c r="K89">
        <v>0.99280000000000002</v>
      </c>
      <c r="L89">
        <v>1.3160000000000001</v>
      </c>
      <c r="M89">
        <v>81.252399999999994</v>
      </c>
      <c r="N89">
        <v>6.3042999999999996</v>
      </c>
      <c r="O89">
        <v>1.325543916</v>
      </c>
      <c r="P89">
        <v>81.841659949999993</v>
      </c>
      <c r="Q89">
        <v>6.3500201450000002</v>
      </c>
      <c r="R89">
        <v>1249805</v>
      </c>
      <c r="S89">
        <v>6971769</v>
      </c>
      <c r="T89">
        <v>1426.6</v>
      </c>
      <c r="U89">
        <v>859.7</v>
      </c>
      <c r="W89">
        <v>2593750</v>
      </c>
      <c r="X89">
        <v>26250000</v>
      </c>
      <c r="Y89">
        <v>1918.65</v>
      </c>
      <c r="Z89">
        <v>219.91</v>
      </c>
      <c r="AA89">
        <v>118.74</v>
      </c>
      <c r="AB89">
        <v>70.7</v>
      </c>
      <c r="AC89">
        <v>83.82</v>
      </c>
      <c r="AD89">
        <v>2411.8200000000002</v>
      </c>
      <c r="AE89">
        <v>26028598</v>
      </c>
      <c r="AF89">
        <v>3840542</v>
      </c>
      <c r="AG89">
        <v>2028939</v>
      </c>
      <c r="AH89">
        <v>1071061</v>
      </c>
      <c r="AI89">
        <v>1630147</v>
      </c>
      <c r="AJ89">
        <v>34599287</v>
      </c>
      <c r="AK89">
        <v>61</v>
      </c>
      <c r="AL89">
        <v>683</v>
      </c>
      <c r="AM89">
        <v>37</v>
      </c>
      <c r="AN89">
        <v>40</v>
      </c>
      <c r="AO89">
        <v>100</v>
      </c>
      <c r="AP89">
        <v>921</v>
      </c>
      <c r="AQ89">
        <v>1046118</v>
      </c>
      <c r="AR89">
        <v>10132773</v>
      </c>
      <c r="AS89">
        <v>718157</v>
      </c>
      <c r="AT89">
        <v>443823</v>
      </c>
      <c r="AU89">
        <v>1582726</v>
      </c>
      <c r="AV89">
        <v>13923597</v>
      </c>
      <c r="AW89">
        <v>6.15</v>
      </c>
      <c r="AX89">
        <v>7.92</v>
      </c>
      <c r="AY89">
        <v>7.75</v>
      </c>
      <c r="AZ89">
        <v>6.87</v>
      </c>
      <c r="BA89">
        <v>6.51</v>
      </c>
      <c r="BB89">
        <v>7.78</v>
      </c>
      <c r="BC89">
        <v>6.73</v>
      </c>
      <c r="BD89">
        <v>8.8000000000000007</v>
      </c>
      <c r="BE89">
        <v>5.03</v>
      </c>
      <c r="BF89">
        <v>6.86</v>
      </c>
      <c r="BG89">
        <v>0.79549999999999998</v>
      </c>
      <c r="BH89">
        <v>9.1200000000000003E-2</v>
      </c>
      <c r="BI89">
        <v>4.9200000000000001E-2</v>
      </c>
      <c r="BJ89">
        <v>2.93E-2</v>
      </c>
      <c r="BK89">
        <v>6.6199999999999995E-2</v>
      </c>
      <c r="BL89">
        <v>0.74160000000000004</v>
      </c>
      <c r="BM89">
        <v>4.02E-2</v>
      </c>
      <c r="BN89">
        <v>4.3400000000000001E-2</v>
      </c>
      <c r="BO89">
        <v>-1.17</v>
      </c>
      <c r="BP89">
        <v>1.77</v>
      </c>
      <c r="BQ89">
        <v>1.6</v>
      </c>
      <c r="BR89">
        <v>0.72</v>
      </c>
      <c r="BS89">
        <v>2593750</v>
      </c>
      <c r="BT89">
        <v>94293.8</v>
      </c>
      <c r="BU89">
        <v>13.87</v>
      </c>
      <c r="BV89">
        <v>335192.63</v>
      </c>
      <c r="BW89">
        <v>10.5</v>
      </c>
      <c r="BZ89" s="5">
        <v>26391.56</v>
      </c>
      <c r="CA89" s="5">
        <v>18.170000000000002</v>
      </c>
      <c r="CB89" s="5">
        <v>0</v>
      </c>
      <c r="CC89" s="5">
        <v>0</v>
      </c>
    </row>
    <row r="90" spans="1:81" x14ac:dyDescent="0.2">
      <c r="A90" s="2">
        <v>41030</v>
      </c>
      <c r="B90">
        <v>2012</v>
      </c>
      <c r="C90">
        <v>5</v>
      </c>
      <c r="E90">
        <v>6.3150000000000004</v>
      </c>
      <c r="F90">
        <v>15.25</v>
      </c>
      <c r="G90">
        <v>19.170000000000002</v>
      </c>
      <c r="H90">
        <v>3.95</v>
      </c>
      <c r="I90">
        <v>4.55</v>
      </c>
      <c r="J90">
        <v>4.8841999999999999</v>
      </c>
      <c r="K90">
        <v>1.0097</v>
      </c>
      <c r="L90">
        <v>1.2806</v>
      </c>
      <c r="M90">
        <v>79.666799999999995</v>
      </c>
      <c r="N90">
        <v>6.3242000000000003</v>
      </c>
      <c r="O90">
        <v>1.2682975139999999</v>
      </c>
      <c r="P90">
        <v>78.90145588</v>
      </c>
      <c r="Q90">
        <v>6.2634445879999996</v>
      </c>
      <c r="R90">
        <v>2726086</v>
      </c>
      <c r="S90">
        <v>13314834</v>
      </c>
      <c r="T90">
        <v>24414.53</v>
      </c>
      <c r="U90">
        <v>23178</v>
      </c>
      <c r="W90">
        <v>4516667.5</v>
      </c>
      <c r="X90">
        <v>26250000</v>
      </c>
      <c r="Y90">
        <v>3555.48</v>
      </c>
      <c r="Z90">
        <v>322.05</v>
      </c>
      <c r="AA90">
        <v>238.07</v>
      </c>
      <c r="AB90">
        <v>93.85</v>
      </c>
      <c r="AC90">
        <v>90.01</v>
      </c>
      <c r="AD90">
        <v>4299.46</v>
      </c>
      <c r="AE90">
        <v>45188656</v>
      </c>
      <c r="AF90">
        <v>5349111</v>
      </c>
      <c r="AG90">
        <v>3867638</v>
      </c>
      <c r="AH90">
        <v>1027973</v>
      </c>
      <c r="AI90">
        <v>2122331</v>
      </c>
      <c r="AJ90">
        <v>57555709</v>
      </c>
      <c r="AK90">
        <v>90</v>
      </c>
      <c r="AL90">
        <v>868</v>
      </c>
      <c r="AM90">
        <v>22</v>
      </c>
      <c r="AN90">
        <v>72</v>
      </c>
      <c r="AO90">
        <v>92</v>
      </c>
      <c r="AP90">
        <v>1144</v>
      </c>
      <c r="AQ90">
        <v>1456499</v>
      </c>
      <c r="AR90">
        <v>12680703</v>
      </c>
      <c r="AS90">
        <v>405003</v>
      </c>
      <c r="AT90">
        <v>773342</v>
      </c>
      <c r="AU90">
        <v>1604843</v>
      </c>
      <c r="AV90">
        <v>16920390</v>
      </c>
      <c r="AW90">
        <v>5.76</v>
      </c>
      <c r="AX90">
        <v>7.53</v>
      </c>
      <c r="AY90">
        <v>7.37</v>
      </c>
      <c r="AZ90">
        <v>4.97</v>
      </c>
      <c r="BA90">
        <v>6.07</v>
      </c>
      <c r="BB90">
        <v>7.34</v>
      </c>
      <c r="BC90">
        <v>6.63</v>
      </c>
      <c r="BD90">
        <v>8.35</v>
      </c>
      <c r="BE90">
        <v>4.87</v>
      </c>
      <c r="BF90">
        <v>6.71</v>
      </c>
      <c r="BG90">
        <v>0.82699999999999996</v>
      </c>
      <c r="BH90">
        <v>7.4899999999999994E-2</v>
      </c>
      <c r="BI90">
        <v>5.5399999999999998E-2</v>
      </c>
      <c r="BJ90">
        <v>2.18E-2</v>
      </c>
      <c r="BK90">
        <v>7.8700000000000006E-2</v>
      </c>
      <c r="BL90">
        <v>0.75870000000000004</v>
      </c>
      <c r="BM90">
        <v>1.9199999999999998E-2</v>
      </c>
      <c r="BN90">
        <v>6.2899999999999998E-2</v>
      </c>
      <c r="BO90">
        <v>-0.84</v>
      </c>
      <c r="BP90">
        <v>1.77</v>
      </c>
      <c r="BQ90">
        <v>1.6</v>
      </c>
      <c r="BR90">
        <v>-0.8</v>
      </c>
      <c r="BS90">
        <v>4516667.5</v>
      </c>
      <c r="BT90">
        <v>1944880.49</v>
      </c>
      <c r="BU90">
        <v>12.36</v>
      </c>
      <c r="BV90">
        <v>14301.37</v>
      </c>
      <c r="BW90">
        <v>3.88</v>
      </c>
      <c r="BX90">
        <v>69696.856679999997</v>
      </c>
      <c r="BY90">
        <v>5.9328500550000003</v>
      </c>
      <c r="BZ90" s="5">
        <v>33038.5</v>
      </c>
      <c r="CA90" s="5">
        <v>13.48</v>
      </c>
      <c r="CB90" s="5">
        <v>2482.41</v>
      </c>
      <c r="CC90" s="5">
        <v>12.1</v>
      </c>
    </row>
    <row r="91" spans="1:81" x14ac:dyDescent="0.2">
      <c r="A91" s="2">
        <v>41061</v>
      </c>
      <c r="B91">
        <v>2012</v>
      </c>
      <c r="C91">
        <v>6</v>
      </c>
      <c r="E91">
        <v>5.9119999999999999</v>
      </c>
      <c r="F91">
        <v>15.16</v>
      </c>
      <c r="G91">
        <v>19.5</v>
      </c>
      <c r="H91">
        <v>4</v>
      </c>
      <c r="I91">
        <v>4.34</v>
      </c>
      <c r="J91">
        <v>3.1835</v>
      </c>
      <c r="K91">
        <v>1.028</v>
      </c>
      <c r="L91">
        <v>1.2541</v>
      </c>
      <c r="M91">
        <v>79.315200000000004</v>
      </c>
      <c r="N91">
        <v>6.3632999999999997</v>
      </c>
      <c r="O91">
        <v>1.219941634</v>
      </c>
      <c r="P91">
        <v>77.154863809999995</v>
      </c>
      <c r="Q91">
        <v>6.1899805450000001</v>
      </c>
      <c r="R91">
        <v>9328006</v>
      </c>
      <c r="S91">
        <v>29695807</v>
      </c>
      <c r="T91">
        <v>18563.27</v>
      </c>
      <c r="U91">
        <v>14332.15</v>
      </c>
      <c r="W91">
        <v>19718750</v>
      </c>
      <c r="X91">
        <v>26250000</v>
      </c>
      <c r="Y91">
        <v>2179.66</v>
      </c>
      <c r="Z91">
        <v>277.08</v>
      </c>
      <c r="AA91">
        <v>172.9</v>
      </c>
      <c r="AB91">
        <v>84.87</v>
      </c>
      <c r="AC91">
        <v>148.11000000000001</v>
      </c>
      <c r="AD91">
        <v>2862.62</v>
      </c>
      <c r="AE91">
        <v>27208237</v>
      </c>
      <c r="AF91">
        <v>4669563</v>
      </c>
      <c r="AG91">
        <v>2749425</v>
      </c>
      <c r="AH91">
        <v>1675042</v>
      </c>
      <c r="AI91">
        <v>2245135</v>
      </c>
      <c r="AJ91">
        <v>38547402</v>
      </c>
      <c r="AK91">
        <v>86</v>
      </c>
      <c r="AL91">
        <v>714</v>
      </c>
      <c r="AM91">
        <v>21</v>
      </c>
      <c r="AN91">
        <v>1580</v>
      </c>
      <c r="AO91">
        <v>97</v>
      </c>
      <c r="AP91">
        <v>2498</v>
      </c>
      <c r="AQ91">
        <v>1377169</v>
      </c>
      <c r="AR91">
        <v>10370124</v>
      </c>
      <c r="AS91">
        <v>344943</v>
      </c>
      <c r="AT91">
        <v>12218510</v>
      </c>
      <c r="AU91">
        <v>1552588</v>
      </c>
      <c r="AV91">
        <v>25863334</v>
      </c>
      <c r="AW91">
        <v>5.66</v>
      </c>
      <c r="AX91">
        <v>7.64</v>
      </c>
      <c r="AY91">
        <v>7.21</v>
      </c>
      <c r="AZ91">
        <v>8.9499999999999993</v>
      </c>
      <c r="BA91">
        <v>6.11</v>
      </c>
      <c r="BB91">
        <v>7.26</v>
      </c>
      <c r="BC91">
        <v>6.59</v>
      </c>
      <c r="BD91">
        <v>7.45</v>
      </c>
      <c r="BE91">
        <v>3.51</v>
      </c>
      <c r="BF91">
        <v>4.7</v>
      </c>
      <c r="BG91">
        <v>0.76139999999999997</v>
      </c>
      <c r="BH91">
        <v>9.6799999999999997E-2</v>
      </c>
      <c r="BI91">
        <v>6.0400000000000002E-2</v>
      </c>
      <c r="BJ91">
        <v>2.9600000000000001E-2</v>
      </c>
      <c r="BK91">
        <v>3.44E-2</v>
      </c>
      <c r="BL91">
        <v>0.2858</v>
      </c>
      <c r="BM91">
        <v>8.3999999999999995E-3</v>
      </c>
      <c r="BN91">
        <v>0.63249999999999995</v>
      </c>
      <c r="BO91">
        <v>-2</v>
      </c>
      <c r="BP91">
        <v>1.98</v>
      </c>
      <c r="BQ91">
        <v>1.55</v>
      </c>
      <c r="BR91">
        <v>3.29</v>
      </c>
      <c r="BS91">
        <v>19718750</v>
      </c>
      <c r="BT91">
        <v>3463843.83</v>
      </c>
      <c r="BU91">
        <v>12.17</v>
      </c>
      <c r="BV91">
        <v>2539239.4300000002</v>
      </c>
      <c r="BW91">
        <v>10.84</v>
      </c>
      <c r="BX91">
        <v>85444.457339999994</v>
      </c>
      <c r="BY91">
        <v>6.1944568020000004</v>
      </c>
      <c r="BZ91" s="5">
        <v>207499.25</v>
      </c>
      <c r="CA91" s="5">
        <v>5.81</v>
      </c>
      <c r="CB91" s="5">
        <v>763130.74</v>
      </c>
      <c r="CC91" s="5">
        <v>5.9</v>
      </c>
    </row>
    <row r="92" spans="1:81" x14ac:dyDescent="0.2">
      <c r="A92" s="2">
        <v>41091</v>
      </c>
      <c r="B92">
        <v>2012</v>
      </c>
      <c r="C92">
        <v>7</v>
      </c>
      <c r="E92">
        <v>3.956</v>
      </c>
      <c r="F92">
        <v>14.34</v>
      </c>
      <c r="G92">
        <v>18.5</v>
      </c>
      <c r="H92">
        <v>4.13</v>
      </c>
      <c r="I92">
        <v>4.03</v>
      </c>
      <c r="J92">
        <v>2.1812</v>
      </c>
      <c r="K92">
        <v>1.0142</v>
      </c>
      <c r="L92">
        <v>1.2278</v>
      </c>
      <c r="M92">
        <v>78.934799999999996</v>
      </c>
      <c r="N92">
        <v>6.3716999999999997</v>
      </c>
      <c r="O92">
        <v>1.2106093469999999</v>
      </c>
      <c r="P92">
        <v>77.829619399999999</v>
      </c>
      <c r="Q92">
        <v>6.2824886610000004</v>
      </c>
      <c r="R92">
        <v>26072903</v>
      </c>
      <c r="S92">
        <v>56870485</v>
      </c>
      <c r="T92">
        <v>13339.03</v>
      </c>
      <c r="U92">
        <v>1512.55</v>
      </c>
      <c r="W92">
        <v>21250000</v>
      </c>
      <c r="X92">
        <v>26250000</v>
      </c>
      <c r="Y92">
        <v>1471.29</v>
      </c>
      <c r="Z92">
        <v>271.45999999999998</v>
      </c>
      <c r="AA92">
        <v>162.97</v>
      </c>
      <c r="AB92">
        <v>95.4</v>
      </c>
      <c r="AC92">
        <v>85.21</v>
      </c>
      <c r="AD92">
        <v>2086.33</v>
      </c>
      <c r="AE92">
        <v>17889217</v>
      </c>
      <c r="AF92">
        <v>4567487</v>
      </c>
      <c r="AG92">
        <v>2553907</v>
      </c>
      <c r="AH92">
        <v>1011281</v>
      </c>
      <c r="AI92">
        <v>2044030</v>
      </c>
      <c r="AJ92">
        <v>28065922</v>
      </c>
      <c r="AK92">
        <v>123</v>
      </c>
      <c r="AL92">
        <v>953</v>
      </c>
      <c r="AM92">
        <v>21</v>
      </c>
      <c r="AN92">
        <v>6642</v>
      </c>
      <c r="AO92">
        <v>95</v>
      </c>
      <c r="AP92">
        <v>7834</v>
      </c>
      <c r="AQ92">
        <v>1854629</v>
      </c>
      <c r="AR92">
        <v>13999446</v>
      </c>
      <c r="AS92">
        <v>338848</v>
      </c>
      <c r="AT92">
        <v>42493545</v>
      </c>
      <c r="AU92">
        <v>1524476</v>
      </c>
      <c r="AV92">
        <v>60210944</v>
      </c>
      <c r="AW92">
        <v>5.52</v>
      </c>
      <c r="AX92">
        <v>7.63</v>
      </c>
      <c r="AY92">
        <v>7.11</v>
      </c>
      <c r="AZ92">
        <v>4.8099999999999996</v>
      </c>
      <c r="BA92">
        <v>6.1</v>
      </c>
      <c r="BB92">
        <v>6.84</v>
      </c>
      <c r="BC92">
        <v>6.66</v>
      </c>
      <c r="BD92">
        <v>7.32</v>
      </c>
      <c r="BE92">
        <v>2.9</v>
      </c>
      <c r="BF92">
        <v>3.49</v>
      </c>
      <c r="BG92">
        <v>0.70520000000000005</v>
      </c>
      <c r="BH92">
        <v>0.13009999999999999</v>
      </c>
      <c r="BI92">
        <v>7.8100000000000003E-2</v>
      </c>
      <c r="BJ92">
        <v>4.5699999999999998E-2</v>
      </c>
      <c r="BK92">
        <v>1.5699999999999999E-2</v>
      </c>
      <c r="BL92">
        <v>0.1216</v>
      </c>
      <c r="BM92">
        <v>2.7000000000000001E-3</v>
      </c>
      <c r="BN92">
        <v>0.8478</v>
      </c>
      <c r="BO92">
        <v>-2.54</v>
      </c>
      <c r="BP92">
        <v>2.11</v>
      </c>
      <c r="BQ92">
        <v>1.59</v>
      </c>
      <c r="BR92">
        <v>-0.71</v>
      </c>
      <c r="BS92">
        <v>21250000</v>
      </c>
      <c r="BT92">
        <v>2200607.59</v>
      </c>
      <c r="BU92">
        <v>11.84</v>
      </c>
      <c r="BV92">
        <v>60214.79</v>
      </c>
      <c r="BW92">
        <v>9.1300000000000008</v>
      </c>
      <c r="BX92">
        <v>16499.376079999998</v>
      </c>
      <c r="BY92">
        <v>4.5439900050000004</v>
      </c>
      <c r="BZ92" s="5">
        <v>309725.48</v>
      </c>
      <c r="CA92" s="5">
        <v>9.42</v>
      </c>
      <c r="CB92" s="5">
        <v>1580856.81</v>
      </c>
      <c r="CC92" s="5">
        <v>5.71</v>
      </c>
    </row>
    <row r="93" spans="1:81" x14ac:dyDescent="0.2">
      <c r="A93" s="2">
        <v>41122</v>
      </c>
      <c r="B93">
        <v>2012</v>
      </c>
      <c r="C93">
        <v>8</v>
      </c>
      <c r="E93">
        <v>3.944</v>
      </c>
      <c r="F93">
        <v>13.61</v>
      </c>
      <c r="G93">
        <v>17.72</v>
      </c>
      <c r="H93">
        <v>2.69</v>
      </c>
      <c r="I93">
        <v>3</v>
      </c>
      <c r="J93">
        <v>2.2288000000000001</v>
      </c>
      <c r="K93">
        <v>0.99239999999999995</v>
      </c>
      <c r="L93">
        <v>1.2405999999999999</v>
      </c>
      <c r="M93">
        <v>78.690899999999999</v>
      </c>
      <c r="N93">
        <v>6.3593000000000002</v>
      </c>
      <c r="O93">
        <v>1.2501007660000001</v>
      </c>
      <c r="P93">
        <v>79.293530829999995</v>
      </c>
      <c r="Q93">
        <v>6.4080008060000004</v>
      </c>
      <c r="R93">
        <v>25439960</v>
      </c>
      <c r="S93">
        <v>56700975</v>
      </c>
      <c r="T93">
        <v>12043.29</v>
      </c>
      <c r="U93">
        <v>503.9</v>
      </c>
      <c r="W93">
        <v>14667808.5</v>
      </c>
      <c r="X93">
        <v>26250000</v>
      </c>
      <c r="Y93">
        <v>778.88</v>
      </c>
      <c r="Z93">
        <v>275.23</v>
      </c>
      <c r="AA93">
        <v>139.5</v>
      </c>
      <c r="AB93">
        <v>77.819999999999993</v>
      </c>
      <c r="AC93">
        <v>77.849999999999994</v>
      </c>
      <c r="AD93">
        <v>1349.28</v>
      </c>
      <c r="AE93">
        <v>10648583</v>
      </c>
      <c r="AF93">
        <v>4674938</v>
      </c>
      <c r="AG93">
        <v>2401361</v>
      </c>
      <c r="AH93">
        <v>908168</v>
      </c>
      <c r="AI93">
        <v>1716548</v>
      </c>
      <c r="AJ93">
        <v>20349598</v>
      </c>
      <c r="AK93">
        <v>170</v>
      </c>
      <c r="AL93">
        <v>903</v>
      </c>
      <c r="AM93">
        <v>14</v>
      </c>
      <c r="AN93">
        <v>5779</v>
      </c>
      <c r="AO93">
        <v>116</v>
      </c>
      <c r="AP93">
        <v>6982</v>
      </c>
      <c r="AQ93">
        <v>2679819</v>
      </c>
      <c r="AR93">
        <v>13095248</v>
      </c>
      <c r="AS93">
        <v>225121</v>
      </c>
      <c r="AT93">
        <v>36997718</v>
      </c>
      <c r="AU93">
        <v>1943382</v>
      </c>
      <c r="AV93">
        <v>54941288</v>
      </c>
      <c r="AW93">
        <v>6.2</v>
      </c>
      <c r="AX93">
        <v>7.7</v>
      </c>
      <c r="AY93">
        <v>7.81</v>
      </c>
      <c r="AZ93">
        <v>5.29</v>
      </c>
      <c r="BA93">
        <v>6.84</v>
      </c>
      <c r="BB93">
        <v>7.15</v>
      </c>
      <c r="BC93">
        <v>6.58</v>
      </c>
      <c r="BD93">
        <v>7.29</v>
      </c>
      <c r="BE93">
        <v>2.9</v>
      </c>
      <c r="BF93">
        <v>3.57</v>
      </c>
      <c r="BG93">
        <v>0.57730000000000004</v>
      </c>
      <c r="BH93">
        <v>0.20399999999999999</v>
      </c>
      <c r="BI93">
        <v>0.10340000000000001</v>
      </c>
      <c r="BJ93">
        <v>5.7700000000000001E-2</v>
      </c>
      <c r="BK93">
        <v>2.4299999999999999E-2</v>
      </c>
      <c r="BL93">
        <v>0.1293</v>
      </c>
      <c r="BM93">
        <v>2E-3</v>
      </c>
      <c r="BN93">
        <v>0.82769999999999999</v>
      </c>
      <c r="BO93">
        <v>-3.34</v>
      </c>
      <c r="BP93">
        <v>1.5</v>
      </c>
      <c r="BQ93">
        <v>1.61</v>
      </c>
      <c r="BR93">
        <v>-0.91</v>
      </c>
      <c r="BS93">
        <v>14667808.5</v>
      </c>
      <c r="BT93">
        <v>1922413.21</v>
      </c>
      <c r="BU93">
        <v>11.46</v>
      </c>
      <c r="BV93">
        <v>3110643.86</v>
      </c>
      <c r="BW93">
        <v>11.14</v>
      </c>
      <c r="BX93">
        <v>196605.807</v>
      </c>
      <c r="BY93">
        <v>4.7286853539999996</v>
      </c>
      <c r="BZ93" s="5">
        <v>163131.18</v>
      </c>
      <c r="CA93" s="5">
        <v>8.66</v>
      </c>
      <c r="CB93" s="5">
        <v>805710.86</v>
      </c>
      <c r="CC93" s="5">
        <v>6.91</v>
      </c>
    </row>
    <row r="94" spans="1:81" x14ac:dyDescent="0.2">
      <c r="A94" s="2">
        <v>41153</v>
      </c>
      <c r="B94">
        <v>2012</v>
      </c>
      <c r="C94">
        <v>9</v>
      </c>
      <c r="E94">
        <v>4.2939999999999996</v>
      </c>
      <c r="F94">
        <v>13.53</v>
      </c>
      <c r="G94">
        <v>17.5</v>
      </c>
      <c r="H94">
        <v>2.63</v>
      </c>
      <c r="I94">
        <v>3</v>
      </c>
      <c r="J94">
        <v>2.7818999999999998</v>
      </c>
      <c r="K94">
        <v>0.97829999999999995</v>
      </c>
      <c r="L94">
        <v>1.2885</v>
      </c>
      <c r="M94">
        <v>78.135300000000001</v>
      </c>
      <c r="N94">
        <v>6.32</v>
      </c>
      <c r="O94">
        <v>1.3170806500000001</v>
      </c>
      <c r="P94">
        <v>79.868445260000001</v>
      </c>
      <c r="Q94">
        <v>6.4601860369999997</v>
      </c>
      <c r="R94">
        <v>22391100</v>
      </c>
      <c r="S94">
        <v>62290672</v>
      </c>
      <c r="T94">
        <v>10660.34</v>
      </c>
      <c r="U94">
        <v>503.9</v>
      </c>
      <c r="W94">
        <v>7917186.7999999998</v>
      </c>
      <c r="X94">
        <v>26250000</v>
      </c>
      <c r="Y94">
        <v>333.36</v>
      </c>
      <c r="Z94">
        <v>250.63</v>
      </c>
      <c r="AA94">
        <v>147.11000000000001</v>
      </c>
      <c r="AB94">
        <v>65.099999999999994</v>
      </c>
      <c r="AC94">
        <v>100.85</v>
      </c>
      <c r="AD94">
        <v>897.05</v>
      </c>
      <c r="AE94">
        <v>4330295</v>
      </c>
      <c r="AF94">
        <v>4247538</v>
      </c>
      <c r="AG94">
        <v>2329183</v>
      </c>
      <c r="AH94">
        <v>1289794</v>
      </c>
      <c r="AI94">
        <v>1550182</v>
      </c>
      <c r="AJ94">
        <v>13746992</v>
      </c>
      <c r="AK94">
        <v>264</v>
      </c>
      <c r="AL94">
        <v>836</v>
      </c>
      <c r="AM94">
        <v>65</v>
      </c>
      <c r="AN94">
        <v>6187</v>
      </c>
      <c r="AO94">
        <v>155</v>
      </c>
      <c r="AP94">
        <v>7507</v>
      </c>
      <c r="AQ94">
        <v>4202636</v>
      </c>
      <c r="AR94">
        <v>12069276</v>
      </c>
      <c r="AS94">
        <v>1001881</v>
      </c>
      <c r="AT94">
        <v>46596348</v>
      </c>
      <c r="AU94">
        <v>2583351</v>
      </c>
      <c r="AV94">
        <v>66453492</v>
      </c>
      <c r="AW94">
        <v>5.89</v>
      </c>
      <c r="AX94">
        <v>7.69</v>
      </c>
      <c r="AY94">
        <v>7.18</v>
      </c>
      <c r="AZ94">
        <v>8.99</v>
      </c>
      <c r="BA94">
        <v>6.95</v>
      </c>
      <c r="BB94">
        <v>7.22</v>
      </c>
      <c r="BC94">
        <v>6.55</v>
      </c>
      <c r="BD94">
        <v>6.99</v>
      </c>
      <c r="BE94">
        <v>3.42</v>
      </c>
      <c r="BF94">
        <v>4.0199999999999996</v>
      </c>
      <c r="BG94">
        <v>0.37159999999999999</v>
      </c>
      <c r="BH94">
        <v>0.27939999999999998</v>
      </c>
      <c r="BI94">
        <v>0.16400000000000001</v>
      </c>
      <c r="BJ94">
        <v>7.2599999999999998E-2</v>
      </c>
      <c r="BK94">
        <v>3.5200000000000002E-2</v>
      </c>
      <c r="BL94">
        <v>0.1114</v>
      </c>
      <c r="BM94">
        <v>8.6999999999999994E-3</v>
      </c>
      <c r="BN94">
        <v>0.82420000000000004</v>
      </c>
      <c r="BO94">
        <v>-2.61</v>
      </c>
      <c r="BP94">
        <v>1.8</v>
      </c>
      <c r="BQ94">
        <v>1.29</v>
      </c>
      <c r="BR94">
        <v>3.09</v>
      </c>
      <c r="BS94">
        <v>7917186.7999999998</v>
      </c>
      <c r="BT94">
        <v>1857943.51</v>
      </c>
      <c r="BU94">
        <v>11.07</v>
      </c>
      <c r="BV94">
        <v>48629.51</v>
      </c>
      <c r="BW94">
        <v>4.28</v>
      </c>
      <c r="BX94">
        <v>103251.1731</v>
      </c>
      <c r="BY94">
        <v>6.789821162</v>
      </c>
      <c r="BZ94" s="5">
        <v>124896.38</v>
      </c>
      <c r="CA94" s="5">
        <v>6.34</v>
      </c>
      <c r="CB94" s="5">
        <v>435512.53</v>
      </c>
      <c r="CC94" s="5">
        <v>5.88</v>
      </c>
    </row>
    <row r="95" spans="1:81" x14ac:dyDescent="0.2">
      <c r="A95" s="2">
        <v>41183</v>
      </c>
      <c r="B95">
        <v>2012</v>
      </c>
      <c r="C95">
        <v>10</v>
      </c>
      <c r="E95">
        <v>4.069</v>
      </c>
      <c r="F95">
        <v>13.75</v>
      </c>
      <c r="G95">
        <v>17.5</v>
      </c>
      <c r="H95">
        <v>2.63</v>
      </c>
      <c r="I95">
        <v>3</v>
      </c>
      <c r="J95">
        <v>2.7639</v>
      </c>
      <c r="K95">
        <v>0.98719999999999997</v>
      </c>
      <c r="L95">
        <v>1.2974000000000001</v>
      </c>
      <c r="M95">
        <v>79.013199999999998</v>
      </c>
      <c r="N95">
        <v>6.2626999999999997</v>
      </c>
      <c r="O95">
        <v>1.3142220419999999</v>
      </c>
      <c r="P95">
        <v>80.037682329999996</v>
      </c>
      <c r="Q95">
        <v>6.3439019449999998</v>
      </c>
      <c r="R95">
        <v>19821432</v>
      </c>
      <c r="S95">
        <v>54784153</v>
      </c>
      <c r="T95">
        <v>10140.959999999999</v>
      </c>
      <c r="U95">
        <v>1150.0999999999999</v>
      </c>
      <c r="W95">
        <v>3400000</v>
      </c>
      <c r="X95">
        <v>26250000</v>
      </c>
      <c r="Y95">
        <v>466.46</v>
      </c>
      <c r="Z95">
        <v>164.52</v>
      </c>
      <c r="AA95">
        <v>115.74</v>
      </c>
      <c r="AB95">
        <v>71.459999999999994</v>
      </c>
      <c r="AC95">
        <v>92.07</v>
      </c>
      <c r="AD95">
        <v>910.25</v>
      </c>
      <c r="AE95">
        <v>5680090</v>
      </c>
      <c r="AF95">
        <v>2722401</v>
      </c>
      <c r="AG95">
        <v>1842589</v>
      </c>
      <c r="AH95">
        <v>1318531</v>
      </c>
      <c r="AI95">
        <v>1487979</v>
      </c>
      <c r="AJ95">
        <v>13051590</v>
      </c>
      <c r="AK95">
        <v>355</v>
      </c>
      <c r="AL95">
        <v>896</v>
      </c>
      <c r="AM95">
        <v>49</v>
      </c>
      <c r="AN95">
        <v>5850</v>
      </c>
      <c r="AO95">
        <v>164</v>
      </c>
      <c r="AP95">
        <v>7314</v>
      </c>
      <c r="AQ95">
        <v>5924074</v>
      </c>
      <c r="AR95">
        <v>11579388</v>
      </c>
      <c r="AS95">
        <v>757066</v>
      </c>
      <c r="AT95">
        <v>43943226</v>
      </c>
      <c r="AU95">
        <v>2704941</v>
      </c>
      <c r="AV95">
        <v>64908695</v>
      </c>
      <c r="AW95">
        <v>5.52</v>
      </c>
      <c r="AX95">
        <v>7.51</v>
      </c>
      <c r="AY95">
        <v>7.22</v>
      </c>
      <c r="AZ95">
        <v>8.3699999999999992</v>
      </c>
      <c r="BA95">
        <v>6.5</v>
      </c>
      <c r="BB95">
        <v>7.57</v>
      </c>
      <c r="BC95">
        <v>5.86</v>
      </c>
      <c r="BD95">
        <v>7.01</v>
      </c>
      <c r="BE95">
        <v>3.41</v>
      </c>
      <c r="BF95">
        <v>4.03</v>
      </c>
      <c r="BG95">
        <v>0.51249999999999996</v>
      </c>
      <c r="BH95">
        <v>0.1807</v>
      </c>
      <c r="BI95">
        <v>0.12720000000000001</v>
      </c>
      <c r="BJ95">
        <v>7.85E-2</v>
      </c>
      <c r="BK95">
        <v>4.8500000000000001E-2</v>
      </c>
      <c r="BL95">
        <v>0.1225</v>
      </c>
      <c r="BM95">
        <v>6.7000000000000002E-3</v>
      </c>
      <c r="BN95">
        <v>0.79979999999999996</v>
      </c>
      <c r="BO95">
        <v>-2.19</v>
      </c>
      <c r="BP95">
        <v>1.99</v>
      </c>
      <c r="BQ95">
        <v>1.7</v>
      </c>
      <c r="BR95">
        <v>2.85</v>
      </c>
      <c r="BS95">
        <v>3400000</v>
      </c>
      <c r="BT95">
        <v>2261973.19</v>
      </c>
      <c r="BU95">
        <v>10.42</v>
      </c>
      <c r="BV95">
        <v>1276023.03</v>
      </c>
      <c r="BW95">
        <v>10.41</v>
      </c>
      <c r="BX95">
        <v>106648.49249999999</v>
      </c>
      <c r="BY95">
        <v>4.2246448069999998</v>
      </c>
      <c r="BZ95" s="5">
        <v>170666.59</v>
      </c>
      <c r="CA95" s="5">
        <v>5.12</v>
      </c>
      <c r="CB95" s="5">
        <v>502830.74</v>
      </c>
      <c r="CC95" s="5">
        <v>6.81</v>
      </c>
    </row>
    <row r="96" spans="1:81" x14ac:dyDescent="0.2">
      <c r="A96" s="2">
        <v>41214</v>
      </c>
      <c r="B96">
        <v>2012</v>
      </c>
      <c r="C96">
        <v>11</v>
      </c>
      <c r="E96">
        <v>4</v>
      </c>
      <c r="F96">
        <v>13.64</v>
      </c>
      <c r="G96">
        <v>17.11</v>
      </c>
      <c r="J96">
        <v>2.7629999999999999</v>
      </c>
      <c r="K96">
        <v>0.997</v>
      </c>
      <c r="L96">
        <v>1.2837000000000001</v>
      </c>
      <c r="M96">
        <v>81.030500000000004</v>
      </c>
      <c r="N96">
        <v>6.2337999999999996</v>
      </c>
      <c r="O96">
        <v>1.287562688</v>
      </c>
      <c r="P96">
        <v>81.27432297</v>
      </c>
      <c r="Q96">
        <v>6.2525576730000001</v>
      </c>
      <c r="R96">
        <v>13089876</v>
      </c>
      <c r="S96">
        <v>36167120</v>
      </c>
      <c r="T96">
        <v>8162.27</v>
      </c>
      <c r="U96">
        <v>2224.8000000000002</v>
      </c>
      <c r="W96">
        <v>4843750</v>
      </c>
      <c r="X96">
        <v>26250000</v>
      </c>
      <c r="Y96">
        <v>1084.69</v>
      </c>
      <c r="Z96">
        <v>185.87</v>
      </c>
      <c r="AA96">
        <v>137.52000000000001</v>
      </c>
      <c r="AB96">
        <v>81.42</v>
      </c>
      <c r="AC96">
        <v>80.94</v>
      </c>
      <c r="AD96">
        <v>1570.44</v>
      </c>
      <c r="AE96">
        <v>11343720</v>
      </c>
      <c r="AF96">
        <v>3002585</v>
      </c>
      <c r="AG96">
        <v>1884533</v>
      </c>
      <c r="AH96">
        <v>1131139</v>
      </c>
      <c r="AI96">
        <v>1626668</v>
      </c>
      <c r="AJ96">
        <v>18988645</v>
      </c>
      <c r="AK96">
        <v>363</v>
      </c>
      <c r="AL96">
        <v>804</v>
      </c>
      <c r="AM96">
        <v>45</v>
      </c>
      <c r="AN96">
        <v>3477</v>
      </c>
      <c r="AO96">
        <v>189</v>
      </c>
      <c r="AP96">
        <v>4878</v>
      </c>
      <c r="AQ96">
        <v>5934166</v>
      </c>
      <c r="AR96">
        <v>11811115</v>
      </c>
      <c r="AS96">
        <v>700700</v>
      </c>
      <c r="AT96">
        <v>26341109</v>
      </c>
      <c r="AU96">
        <v>2943276</v>
      </c>
      <c r="AV96">
        <v>47730366</v>
      </c>
      <c r="AW96">
        <v>4.74</v>
      </c>
      <c r="AX96">
        <v>7.33</v>
      </c>
      <c r="AY96">
        <v>6.22</v>
      </c>
      <c r="AZ96">
        <v>6.3</v>
      </c>
      <c r="BA96">
        <v>5.48</v>
      </c>
      <c r="BB96">
        <v>7.42</v>
      </c>
      <c r="BC96">
        <v>6.66</v>
      </c>
      <c r="BD96">
        <v>7.06</v>
      </c>
      <c r="BE96">
        <v>3.44</v>
      </c>
      <c r="BF96">
        <v>4.4400000000000004</v>
      </c>
      <c r="BG96">
        <v>0.69069999999999998</v>
      </c>
      <c r="BH96">
        <v>0.11840000000000001</v>
      </c>
      <c r="BI96">
        <v>8.7599999999999997E-2</v>
      </c>
      <c r="BJ96">
        <v>5.1799999999999999E-2</v>
      </c>
      <c r="BK96">
        <v>7.4399999999999994E-2</v>
      </c>
      <c r="BL96">
        <v>0.1648</v>
      </c>
      <c r="BM96">
        <v>9.1999999999999998E-3</v>
      </c>
      <c r="BN96">
        <v>0.71279999999999999</v>
      </c>
      <c r="BO96">
        <v>-1.32</v>
      </c>
      <c r="BP96">
        <v>2.59</v>
      </c>
      <c r="BQ96">
        <v>1.47</v>
      </c>
      <c r="BR96">
        <v>1.56</v>
      </c>
      <c r="BS96">
        <v>4843750</v>
      </c>
      <c r="BT96">
        <v>1408743.36</v>
      </c>
      <c r="BU96">
        <v>10.3</v>
      </c>
      <c r="BV96">
        <v>54610.64</v>
      </c>
      <c r="BW96">
        <v>13.02</v>
      </c>
      <c r="BX96">
        <v>16411.191279999999</v>
      </c>
      <c r="BY96">
        <v>3.9594322489999998</v>
      </c>
      <c r="BZ96" s="5">
        <v>256640.33</v>
      </c>
      <c r="CA96" s="5">
        <v>6</v>
      </c>
      <c r="CB96" s="5">
        <v>389693.82</v>
      </c>
      <c r="CC96" s="5">
        <v>6.57</v>
      </c>
    </row>
    <row r="97" spans="1:81" x14ac:dyDescent="0.2">
      <c r="A97" s="2">
        <v>41244</v>
      </c>
      <c r="B97">
        <v>2012</v>
      </c>
      <c r="C97">
        <v>12</v>
      </c>
      <c r="E97">
        <v>4.4000000000000004</v>
      </c>
      <c r="F97">
        <v>13.14</v>
      </c>
      <c r="G97">
        <v>16.559999999999999</v>
      </c>
      <c r="I97">
        <v>3</v>
      </c>
      <c r="J97">
        <v>2.7193999999999998</v>
      </c>
      <c r="K97">
        <v>0.98980000000000001</v>
      </c>
      <c r="L97">
        <v>1.3119000000000001</v>
      </c>
      <c r="M97">
        <v>83.790499999999994</v>
      </c>
      <c r="N97">
        <v>6.2328000000000001</v>
      </c>
      <c r="O97">
        <v>1.325419277</v>
      </c>
      <c r="P97">
        <v>84.6539705</v>
      </c>
      <c r="Q97">
        <v>6.2970297029999998</v>
      </c>
      <c r="R97">
        <v>4458817</v>
      </c>
      <c r="S97">
        <v>12125422</v>
      </c>
      <c r="T97">
        <v>21963.39</v>
      </c>
      <c r="U97">
        <v>19940.900000000001</v>
      </c>
      <c r="W97">
        <v>25312500</v>
      </c>
      <c r="X97">
        <v>26250000</v>
      </c>
      <c r="Y97">
        <v>5322.47</v>
      </c>
      <c r="Z97">
        <v>291.52</v>
      </c>
      <c r="AA97">
        <v>873.15</v>
      </c>
      <c r="AB97">
        <v>144.56</v>
      </c>
      <c r="AC97">
        <v>144.26</v>
      </c>
      <c r="AD97">
        <v>6775.96</v>
      </c>
      <c r="AE97">
        <v>51340735</v>
      </c>
      <c r="AF97">
        <v>4383936</v>
      </c>
      <c r="AG97">
        <v>12754623</v>
      </c>
      <c r="AH97">
        <v>1752791</v>
      </c>
      <c r="AI97">
        <v>2857113</v>
      </c>
      <c r="AJ97">
        <v>73089198</v>
      </c>
      <c r="AK97">
        <v>331</v>
      </c>
      <c r="AL97">
        <v>2235</v>
      </c>
      <c r="AM97">
        <v>65</v>
      </c>
      <c r="AN97">
        <v>730</v>
      </c>
      <c r="AO97">
        <v>260</v>
      </c>
      <c r="AP97">
        <v>3621</v>
      </c>
      <c r="AQ97">
        <v>5135709</v>
      </c>
      <c r="AR97">
        <v>33263712</v>
      </c>
      <c r="AS97">
        <v>909649</v>
      </c>
      <c r="AT97">
        <v>5426849</v>
      </c>
      <c r="AU97">
        <v>3995526</v>
      </c>
      <c r="AV97">
        <v>48731445</v>
      </c>
      <c r="AW97">
        <v>4.38</v>
      </c>
      <c r="AX97">
        <v>6.82</v>
      </c>
      <c r="AY97">
        <v>6.63</v>
      </c>
      <c r="AZ97">
        <v>5.5</v>
      </c>
      <c r="BA97">
        <v>4.8899999999999997</v>
      </c>
      <c r="BB97">
        <v>7.04</v>
      </c>
      <c r="BC97">
        <v>6.75</v>
      </c>
      <c r="BD97">
        <v>6.35</v>
      </c>
      <c r="BE97">
        <v>3.37</v>
      </c>
      <c r="BF97">
        <v>6.1</v>
      </c>
      <c r="BG97">
        <v>0.78549999999999998</v>
      </c>
      <c r="BH97">
        <v>4.2999999999999997E-2</v>
      </c>
      <c r="BI97">
        <v>0.12889999999999999</v>
      </c>
      <c r="BJ97">
        <v>2.1299999999999999E-2</v>
      </c>
      <c r="BK97">
        <v>9.1399999999999995E-2</v>
      </c>
      <c r="BL97">
        <v>0.61719999999999997</v>
      </c>
      <c r="BM97">
        <v>1.7999999999999999E-2</v>
      </c>
      <c r="BN97">
        <v>0.2016</v>
      </c>
      <c r="BO97">
        <v>-1.05</v>
      </c>
      <c r="BP97">
        <v>2.44</v>
      </c>
      <c r="BQ97">
        <v>2.25</v>
      </c>
      <c r="BR97">
        <v>1.1200000000000001</v>
      </c>
      <c r="BS97">
        <v>25312500</v>
      </c>
      <c r="BT97">
        <v>2273333.6</v>
      </c>
      <c r="BU97">
        <v>10.63</v>
      </c>
      <c r="BV97">
        <v>1750673.31</v>
      </c>
      <c r="BW97">
        <v>12.51</v>
      </c>
      <c r="BX97">
        <v>44658.98734</v>
      </c>
      <c r="BY97">
        <v>8.7265077689999995</v>
      </c>
      <c r="BZ97" s="5">
        <v>166601.26</v>
      </c>
      <c r="CA97" s="5">
        <v>5.99</v>
      </c>
      <c r="CB97" s="5">
        <v>179317.54</v>
      </c>
      <c r="CC97" s="5">
        <v>3.51</v>
      </c>
    </row>
    <row r="98" spans="1:81" x14ac:dyDescent="0.2">
      <c r="A98" s="2">
        <v>41275</v>
      </c>
      <c r="B98">
        <v>2013</v>
      </c>
      <c r="C98">
        <v>1</v>
      </c>
      <c r="E98">
        <v>5.7220000000000004</v>
      </c>
      <c r="F98">
        <v>13.11</v>
      </c>
      <c r="G98">
        <v>16.5</v>
      </c>
      <c r="I98">
        <v>4.0999999999999996</v>
      </c>
      <c r="J98">
        <v>3.9676999999999998</v>
      </c>
      <c r="K98">
        <v>0.99209999999999998</v>
      </c>
      <c r="L98">
        <v>1.3304</v>
      </c>
      <c r="M98">
        <v>89.058099999999996</v>
      </c>
      <c r="N98">
        <v>6.2214999999999998</v>
      </c>
      <c r="O98">
        <v>1.3409938509999999</v>
      </c>
      <c r="P98">
        <v>89.767261360000006</v>
      </c>
      <c r="Q98">
        <v>6.2710412260000004</v>
      </c>
      <c r="R98">
        <v>1430642</v>
      </c>
      <c r="S98">
        <v>5676376</v>
      </c>
      <c r="T98">
        <v>8273.18</v>
      </c>
      <c r="U98">
        <v>7624.25</v>
      </c>
      <c r="W98">
        <v>15625000</v>
      </c>
      <c r="X98">
        <v>26250000</v>
      </c>
      <c r="Y98">
        <v>2100.84</v>
      </c>
      <c r="Z98">
        <v>410.54</v>
      </c>
      <c r="AA98">
        <v>127.2</v>
      </c>
      <c r="AB98">
        <v>88.39</v>
      </c>
      <c r="AC98">
        <v>50.64</v>
      </c>
      <c r="AD98">
        <v>2777.61</v>
      </c>
      <c r="AE98">
        <v>23903693</v>
      </c>
      <c r="AF98">
        <v>6121540</v>
      </c>
      <c r="AG98">
        <v>1787712</v>
      </c>
      <c r="AH98">
        <v>335144</v>
      </c>
      <c r="AI98">
        <v>1610820</v>
      </c>
      <c r="AJ98">
        <v>33758909</v>
      </c>
      <c r="AK98">
        <v>274</v>
      </c>
      <c r="AL98">
        <v>575</v>
      </c>
      <c r="AM98">
        <v>19</v>
      </c>
      <c r="AN98">
        <v>76</v>
      </c>
      <c r="AO98">
        <v>182</v>
      </c>
      <c r="AP98">
        <v>1126</v>
      </c>
      <c r="AQ98">
        <v>4296582</v>
      </c>
      <c r="AR98">
        <v>8726518</v>
      </c>
      <c r="AS98">
        <v>293471</v>
      </c>
      <c r="AT98">
        <v>705067</v>
      </c>
      <c r="AU98">
        <v>2992922</v>
      </c>
      <c r="AV98">
        <v>17014560</v>
      </c>
      <c r="AW98">
        <v>5.16</v>
      </c>
      <c r="AX98">
        <v>6.76</v>
      </c>
      <c r="AY98">
        <v>6.37</v>
      </c>
      <c r="AZ98">
        <v>1.72</v>
      </c>
      <c r="BA98">
        <v>5.51</v>
      </c>
      <c r="BB98">
        <v>7.11</v>
      </c>
      <c r="BC98">
        <v>6.88</v>
      </c>
      <c r="BD98">
        <v>7.01</v>
      </c>
      <c r="BE98">
        <v>4.21</v>
      </c>
      <c r="BF98">
        <v>6.85</v>
      </c>
      <c r="BG98">
        <v>0.75629999999999997</v>
      </c>
      <c r="BH98">
        <v>0.14779999999999999</v>
      </c>
      <c r="BI98">
        <v>4.58E-2</v>
      </c>
      <c r="BJ98">
        <v>3.1800000000000002E-2</v>
      </c>
      <c r="BK98">
        <v>0.24329999999999999</v>
      </c>
      <c r="BL98">
        <v>0.51070000000000004</v>
      </c>
      <c r="BM98">
        <v>1.6899999999999998E-2</v>
      </c>
      <c r="BN98">
        <v>6.7500000000000004E-2</v>
      </c>
      <c r="BO98">
        <v>-0.99</v>
      </c>
      <c r="BP98">
        <v>1.6</v>
      </c>
      <c r="BQ98">
        <v>1.21</v>
      </c>
      <c r="BR98">
        <v>-3.44</v>
      </c>
      <c r="BS98">
        <v>15625000</v>
      </c>
      <c r="BT98">
        <v>775779.32</v>
      </c>
      <c r="BU98">
        <v>11.74</v>
      </c>
      <c r="BV98">
        <v>72073.440000000002</v>
      </c>
      <c r="BW98">
        <v>10.94</v>
      </c>
      <c r="BZ98" s="5">
        <v>87001.09</v>
      </c>
      <c r="CA98" s="5">
        <v>10.17</v>
      </c>
      <c r="CB98" s="5">
        <v>141345.09</v>
      </c>
      <c r="CC98" s="5">
        <v>7.98</v>
      </c>
    </row>
    <row r="99" spans="1:81" x14ac:dyDescent="0.2">
      <c r="A99" s="2">
        <v>41306</v>
      </c>
      <c r="B99">
        <v>2013</v>
      </c>
      <c r="C99">
        <v>2</v>
      </c>
      <c r="E99">
        <v>6.319</v>
      </c>
      <c r="F99">
        <v>13.5</v>
      </c>
      <c r="G99">
        <v>16.5</v>
      </c>
      <c r="I99">
        <v>5</v>
      </c>
      <c r="J99">
        <v>4.8270999999999997</v>
      </c>
      <c r="K99">
        <v>1.0098</v>
      </c>
      <c r="L99">
        <v>1.3347</v>
      </c>
      <c r="M99">
        <v>93.001599999999996</v>
      </c>
      <c r="N99">
        <v>6.2323000000000004</v>
      </c>
      <c r="O99">
        <v>1.3217468809999999</v>
      </c>
      <c r="P99">
        <v>92.099029509999994</v>
      </c>
      <c r="Q99">
        <v>6.1718162010000004</v>
      </c>
      <c r="R99">
        <v>577825</v>
      </c>
      <c r="S99">
        <v>2789199</v>
      </c>
      <c r="T99">
        <v>442</v>
      </c>
      <c r="U99">
        <v>179.9</v>
      </c>
      <c r="W99">
        <v>11500000</v>
      </c>
      <c r="X99">
        <v>26250000</v>
      </c>
      <c r="Y99">
        <v>2505.11</v>
      </c>
      <c r="Z99">
        <v>290.47000000000003</v>
      </c>
      <c r="AA99">
        <v>142.5</v>
      </c>
      <c r="AB99">
        <v>75.22</v>
      </c>
      <c r="AC99">
        <v>55.29</v>
      </c>
      <c r="AD99">
        <v>3068.59</v>
      </c>
      <c r="AE99">
        <v>31240621</v>
      </c>
      <c r="AF99">
        <v>4647455</v>
      </c>
      <c r="AG99">
        <v>2230562</v>
      </c>
      <c r="AH99">
        <v>601860</v>
      </c>
      <c r="AI99">
        <v>1561608</v>
      </c>
      <c r="AJ99">
        <v>40282106</v>
      </c>
      <c r="AK99">
        <v>210</v>
      </c>
      <c r="AL99">
        <v>572</v>
      </c>
      <c r="AM99">
        <v>18</v>
      </c>
      <c r="AN99">
        <v>17</v>
      </c>
      <c r="AO99">
        <v>160</v>
      </c>
      <c r="AP99">
        <v>977</v>
      </c>
      <c r="AQ99">
        <v>3431008</v>
      </c>
      <c r="AR99">
        <v>8655863</v>
      </c>
      <c r="AS99">
        <v>296047</v>
      </c>
      <c r="AT99">
        <v>165663</v>
      </c>
      <c r="AU99">
        <v>2756095</v>
      </c>
      <c r="AV99">
        <v>15304676</v>
      </c>
      <c r="AW99">
        <v>5.66</v>
      </c>
      <c r="AX99">
        <v>7.26</v>
      </c>
      <c r="AY99">
        <v>7.1</v>
      </c>
      <c r="AZ99">
        <v>3.63</v>
      </c>
      <c r="BA99">
        <v>5.95</v>
      </c>
      <c r="BB99">
        <v>7.41</v>
      </c>
      <c r="BC99">
        <v>6.86</v>
      </c>
      <c r="BD99">
        <v>7.46</v>
      </c>
      <c r="BE99">
        <v>4.42</v>
      </c>
      <c r="BF99">
        <v>7.11</v>
      </c>
      <c r="BG99">
        <v>0.81640000000000001</v>
      </c>
      <c r="BH99">
        <v>9.4700000000000006E-2</v>
      </c>
      <c r="BI99">
        <v>4.6399999999999997E-2</v>
      </c>
      <c r="BJ99">
        <v>2.4500000000000001E-2</v>
      </c>
      <c r="BK99">
        <v>0.21490000000000001</v>
      </c>
      <c r="BL99">
        <v>0.58550000000000002</v>
      </c>
      <c r="BM99">
        <v>1.84E-2</v>
      </c>
      <c r="BN99">
        <v>1.7399999999999999E-2</v>
      </c>
      <c r="BO99">
        <v>-1.18</v>
      </c>
      <c r="BP99">
        <v>1.6</v>
      </c>
      <c r="BQ99">
        <v>1.44</v>
      </c>
      <c r="BR99">
        <v>-2.0299999999999998</v>
      </c>
      <c r="BS99">
        <v>11500000</v>
      </c>
      <c r="BT99">
        <v>186585.81</v>
      </c>
      <c r="BU99">
        <v>10.44</v>
      </c>
      <c r="BV99">
        <v>2556680.1800000002</v>
      </c>
      <c r="BW99">
        <v>11.35</v>
      </c>
      <c r="BX99">
        <v>7517.7542000000003</v>
      </c>
      <c r="BY99">
        <v>22.032909780000001</v>
      </c>
      <c r="BZ99" s="5">
        <v>89595.94</v>
      </c>
      <c r="CA99" s="5">
        <v>8.7200000000000006</v>
      </c>
      <c r="CB99" s="5">
        <v>11091.47</v>
      </c>
      <c r="CC99" s="5">
        <v>10.61</v>
      </c>
    </row>
    <row r="100" spans="1:81" x14ac:dyDescent="0.2">
      <c r="A100" s="2">
        <v>41334</v>
      </c>
      <c r="B100">
        <v>2013</v>
      </c>
      <c r="C100">
        <v>3</v>
      </c>
      <c r="E100">
        <v>9.6560000000000006</v>
      </c>
      <c r="F100">
        <v>13.66</v>
      </c>
      <c r="G100">
        <v>16.66</v>
      </c>
      <c r="I100">
        <v>6.5</v>
      </c>
      <c r="J100">
        <v>7.5433000000000003</v>
      </c>
      <c r="K100">
        <v>1.0244</v>
      </c>
      <c r="L100">
        <v>1.2952999999999999</v>
      </c>
      <c r="M100">
        <v>94.77</v>
      </c>
      <c r="N100">
        <v>6.2153999999999998</v>
      </c>
      <c r="O100">
        <v>1.2644474809999999</v>
      </c>
      <c r="P100">
        <v>92.512690359999993</v>
      </c>
      <c r="Q100">
        <v>6.0673565009999999</v>
      </c>
      <c r="R100">
        <v>691316</v>
      </c>
      <c r="S100">
        <v>5214834</v>
      </c>
      <c r="T100">
        <v>493.48</v>
      </c>
      <c r="U100">
        <v>179.9</v>
      </c>
      <c r="W100">
        <v>6062500</v>
      </c>
      <c r="X100">
        <v>26250000</v>
      </c>
      <c r="Y100">
        <v>1467.39</v>
      </c>
      <c r="Z100">
        <v>253.14</v>
      </c>
      <c r="AA100">
        <v>125.93</v>
      </c>
      <c r="AB100">
        <v>76.400000000000006</v>
      </c>
      <c r="AC100">
        <v>85.54</v>
      </c>
      <c r="AD100">
        <v>2008.4</v>
      </c>
      <c r="AE100">
        <v>26025906</v>
      </c>
      <c r="AF100">
        <v>4599191</v>
      </c>
      <c r="AG100">
        <v>2330853</v>
      </c>
      <c r="AH100">
        <v>1152275</v>
      </c>
      <c r="AI100">
        <v>1737590</v>
      </c>
      <c r="AJ100">
        <v>35845815</v>
      </c>
      <c r="AK100">
        <v>84</v>
      </c>
      <c r="AL100">
        <v>508</v>
      </c>
      <c r="AM100">
        <v>21</v>
      </c>
      <c r="AN100">
        <v>8</v>
      </c>
      <c r="AO100">
        <v>160</v>
      </c>
      <c r="AP100">
        <v>781</v>
      </c>
      <c r="AQ100">
        <v>1341067</v>
      </c>
      <c r="AR100">
        <v>8078219</v>
      </c>
      <c r="AS100">
        <v>352351</v>
      </c>
      <c r="AT100">
        <v>83680</v>
      </c>
      <c r="AU100">
        <v>2571803</v>
      </c>
      <c r="AV100">
        <v>12427120</v>
      </c>
      <c r="AW100">
        <v>8.0500000000000007</v>
      </c>
      <c r="AX100">
        <v>8.24</v>
      </c>
      <c r="AY100">
        <v>8.4</v>
      </c>
      <c r="AZ100">
        <v>6.84</v>
      </c>
      <c r="BA100">
        <v>8.1</v>
      </c>
      <c r="BB100">
        <v>7.24</v>
      </c>
      <c r="BC100">
        <v>7.21</v>
      </c>
      <c r="BD100">
        <v>7.61</v>
      </c>
      <c r="BE100">
        <v>4.74</v>
      </c>
      <c r="BF100">
        <v>7.22</v>
      </c>
      <c r="BG100">
        <v>0.73060000000000003</v>
      </c>
      <c r="BH100">
        <v>0.126</v>
      </c>
      <c r="BI100">
        <v>6.2700000000000006E-2</v>
      </c>
      <c r="BJ100">
        <v>3.7999999999999999E-2</v>
      </c>
      <c r="BK100">
        <v>0.1076</v>
      </c>
      <c r="BL100">
        <v>0.65039999999999998</v>
      </c>
      <c r="BM100">
        <v>2.69E-2</v>
      </c>
      <c r="BN100">
        <v>1.0200000000000001E-2</v>
      </c>
      <c r="BO100">
        <v>-3.11</v>
      </c>
      <c r="BP100">
        <v>0.19</v>
      </c>
      <c r="BQ100">
        <v>0.35</v>
      </c>
      <c r="BR100">
        <v>-1.2</v>
      </c>
      <c r="BS100">
        <v>6062500</v>
      </c>
      <c r="BT100">
        <v>169958.57</v>
      </c>
      <c r="BU100">
        <v>14.14</v>
      </c>
      <c r="BV100">
        <v>3437</v>
      </c>
      <c r="BW100">
        <v>3.99</v>
      </c>
      <c r="BZ100" s="5">
        <v>74287.02</v>
      </c>
      <c r="CA100" s="5">
        <v>5.64</v>
      </c>
      <c r="CB100" s="5">
        <v>37033.279999999999</v>
      </c>
      <c r="CC100" s="5">
        <v>4.8499999999999996</v>
      </c>
    </row>
    <row r="101" spans="1:81" x14ac:dyDescent="0.2">
      <c r="A101" s="2">
        <v>41365</v>
      </c>
      <c r="B101">
        <v>2013</v>
      </c>
      <c r="C101">
        <v>4</v>
      </c>
      <c r="E101">
        <v>8.0169999999999995</v>
      </c>
      <c r="F101">
        <v>13.75</v>
      </c>
      <c r="G101">
        <v>16.75</v>
      </c>
      <c r="I101">
        <v>6.1</v>
      </c>
      <c r="J101">
        <v>5.9379999999999997</v>
      </c>
      <c r="K101">
        <v>1.0186999999999999</v>
      </c>
      <c r="L101">
        <v>1.3025</v>
      </c>
      <c r="M101">
        <v>97.758200000000002</v>
      </c>
      <c r="N101">
        <v>6.1860999999999997</v>
      </c>
      <c r="O101">
        <v>1.2785903599999999</v>
      </c>
      <c r="P101">
        <v>95.963679200000001</v>
      </c>
      <c r="Q101">
        <v>6.0725434380000003</v>
      </c>
      <c r="R101">
        <v>1520736</v>
      </c>
      <c r="S101">
        <v>9030134</v>
      </c>
      <c r="T101">
        <v>1651.43</v>
      </c>
      <c r="U101">
        <v>961.63</v>
      </c>
      <c r="W101">
        <v>2593750</v>
      </c>
      <c r="X101">
        <v>26250000</v>
      </c>
      <c r="Y101">
        <v>1652.16</v>
      </c>
      <c r="Z101">
        <v>219.76</v>
      </c>
      <c r="AA101">
        <v>122.73</v>
      </c>
      <c r="AB101">
        <v>71.11</v>
      </c>
      <c r="AC101">
        <v>65.78</v>
      </c>
      <c r="AD101">
        <v>2131.54</v>
      </c>
      <c r="AE101">
        <v>25786340</v>
      </c>
      <c r="AF101">
        <v>4014436</v>
      </c>
      <c r="AG101">
        <v>2256463</v>
      </c>
      <c r="AH101">
        <v>1025691</v>
      </c>
      <c r="AI101">
        <v>1658684</v>
      </c>
      <c r="AJ101">
        <v>34741614</v>
      </c>
      <c r="AK101">
        <v>106</v>
      </c>
      <c r="AL101">
        <v>468</v>
      </c>
      <c r="AM101">
        <v>17</v>
      </c>
      <c r="AN101">
        <v>14</v>
      </c>
      <c r="AO101">
        <v>150</v>
      </c>
      <c r="AP101">
        <v>755</v>
      </c>
      <c r="AQ101">
        <v>1703475</v>
      </c>
      <c r="AR101">
        <v>7400866</v>
      </c>
      <c r="AS101">
        <v>343783</v>
      </c>
      <c r="AT101">
        <v>146721</v>
      </c>
      <c r="AU101">
        <v>2522106</v>
      </c>
      <c r="AV101">
        <v>12116951</v>
      </c>
      <c r="AW101">
        <v>7.08</v>
      </c>
      <c r="AX101">
        <v>8.2899999999999991</v>
      </c>
      <c r="AY101">
        <v>8.34</v>
      </c>
      <c r="AZ101">
        <v>6.54</v>
      </c>
      <c r="BA101">
        <v>7.39</v>
      </c>
      <c r="BB101">
        <v>7.29</v>
      </c>
      <c r="BC101">
        <v>7.17</v>
      </c>
      <c r="BD101">
        <v>9.17</v>
      </c>
      <c r="BE101">
        <v>4.75</v>
      </c>
      <c r="BF101">
        <v>7.28</v>
      </c>
      <c r="BG101">
        <v>0.77510000000000001</v>
      </c>
      <c r="BH101">
        <v>0.1031</v>
      </c>
      <c r="BI101">
        <v>5.7599999999999998E-2</v>
      </c>
      <c r="BJ101">
        <v>3.3399999999999999E-2</v>
      </c>
      <c r="BK101">
        <v>0.1404</v>
      </c>
      <c r="BL101">
        <v>0.61990000000000001</v>
      </c>
      <c r="BM101">
        <v>2.2499999999999999E-2</v>
      </c>
      <c r="BN101">
        <v>1.8499999999999999E-2</v>
      </c>
      <c r="BO101">
        <v>-2.2000000000000002</v>
      </c>
      <c r="BP101">
        <v>1.21</v>
      </c>
      <c r="BQ101">
        <v>1.26</v>
      </c>
      <c r="BR101">
        <v>-0.54</v>
      </c>
      <c r="BS101">
        <v>2593750</v>
      </c>
      <c r="BT101">
        <v>125154.07</v>
      </c>
      <c r="BU101">
        <v>8.36</v>
      </c>
      <c r="BV101">
        <v>2265176.5</v>
      </c>
      <c r="BW101">
        <v>12.23</v>
      </c>
      <c r="BZ101" s="5">
        <v>310825.59000000003</v>
      </c>
      <c r="CA101" s="5">
        <v>5.17</v>
      </c>
      <c r="CB101" s="5">
        <v>60351.59</v>
      </c>
      <c r="CC101" s="5">
        <v>5.94</v>
      </c>
    </row>
    <row r="102" spans="1:81" x14ac:dyDescent="0.2">
      <c r="A102" s="2">
        <v>41395</v>
      </c>
      <c r="B102">
        <v>2013</v>
      </c>
      <c r="C102">
        <v>5</v>
      </c>
      <c r="E102">
        <v>5.3280000000000003</v>
      </c>
      <c r="F102">
        <v>13.5</v>
      </c>
      <c r="G102">
        <v>16.5</v>
      </c>
      <c r="H102">
        <v>2.75</v>
      </c>
      <c r="I102">
        <v>3.93</v>
      </c>
      <c r="J102">
        <v>4.2832999999999997</v>
      </c>
      <c r="K102">
        <v>1.0196000000000001</v>
      </c>
      <c r="L102">
        <v>1.2983</v>
      </c>
      <c r="M102">
        <v>100.9186</v>
      </c>
      <c r="N102">
        <v>6.1416000000000004</v>
      </c>
      <c r="O102">
        <v>1.2733424870000001</v>
      </c>
      <c r="P102">
        <v>98.978619069999993</v>
      </c>
      <c r="Q102">
        <v>6.0235386430000002</v>
      </c>
      <c r="R102">
        <v>2937813</v>
      </c>
      <c r="S102">
        <v>12583657</v>
      </c>
      <c r="T102">
        <v>26388.97</v>
      </c>
      <c r="U102">
        <v>25056.400000000001</v>
      </c>
      <c r="W102">
        <v>4516667.5</v>
      </c>
      <c r="X102">
        <v>26250000</v>
      </c>
      <c r="Y102">
        <v>3576.6</v>
      </c>
      <c r="Z102">
        <v>313.61</v>
      </c>
      <c r="AA102">
        <v>211.15</v>
      </c>
      <c r="AB102">
        <v>67.760000000000005</v>
      </c>
      <c r="AC102">
        <v>68.599999999999994</v>
      </c>
      <c r="AD102">
        <v>4237.72</v>
      </c>
      <c r="AE102">
        <v>42453108</v>
      </c>
      <c r="AF102">
        <v>5036158</v>
      </c>
      <c r="AG102">
        <v>3003226</v>
      </c>
      <c r="AH102">
        <v>738084</v>
      </c>
      <c r="AI102">
        <v>1495377</v>
      </c>
      <c r="AJ102">
        <v>52725953</v>
      </c>
      <c r="AK102">
        <v>145</v>
      </c>
      <c r="AL102">
        <v>707</v>
      </c>
      <c r="AM102">
        <v>19</v>
      </c>
      <c r="AN102">
        <v>22</v>
      </c>
      <c r="AO102">
        <v>170</v>
      </c>
      <c r="AP102">
        <v>1063</v>
      </c>
      <c r="AQ102">
        <v>2244950</v>
      </c>
      <c r="AR102">
        <v>10598488</v>
      </c>
      <c r="AS102">
        <v>330901</v>
      </c>
      <c r="AT102">
        <v>226199</v>
      </c>
      <c r="AU102">
        <v>2701582</v>
      </c>
      <c r="AV102">
        <v>16102120</v>
      </c>
      <c r="AW102">
        <v>5.38</v>
      </c>
      <c r="AX102">
        <v>7.28</v>
      </c>
      <c r="AY102">
        <v>6.45</v>
      </c>
      <c r="AZ102">
        <v>4.9400000000000004</v>
      </c>
      <c r="BA102">
        <v>5.64</v>
      </c>
      <c r="BB102">
        <v>7.02</v>
      </c>
      <c r="BC102">
        <v>6.8</v>
      </c>
      <c r="BD102">
        <v>7.9</v>
      </c>
      <c r="BE102">
        <v>4.66</v>
      </c>
      <c r="BF102">
        <v>6.87</v>
      </c>
      <c r="BG102">
        <v>0.84399999999999997</v>
      </c>
      <c r="BH102">
        <v>7.3999999999999996E-2</v>
      </c>
      <c r="BI102">
        <v>4.9799999999999997E-2</v>
      </c>
      <c r="BJ102">
        <v>1.6E-2</v>
      </c>
      <c r="BK102">
        <v>0.13639999999999999</v>
      </c>
      <c r="BL102">
        <v>0.66510000000000002</v>
      </c>
      <c r="BM102">
        <v>1.7899999999999999E-2</v>
      </c>
      <c r="BN102">
        <v>2.07E-2</v>
      </c>
      <c r="BO102">
        <v>-0.62</v>
      </c>
      <c r="BP102">
        <v>1.9</v>
      </c>
      <c r="BQ102">
        <v>1.07</v>
      </c>
      <c r="BR102">
        <v>-0.44</v>
      </c>
      <c r="BS102">
        <v>4516667.5</v>
      </c>
      <c r="BT102">
        <v>1807014.58</v>
      </c>
      <c r="BU102">
        <v>10.66</v>
      </c>
      <c r="BV102">
        <v>9358.61</v>
      </c>
      <c r="BW102">
        <v>5</v>
      </c>
      <c r="BX102">
        <v>82942.213640000002</v>
      </c>
      <c r="BY102">
        <v>4.2758805730000002</v>
      </c>
      <c r="BZ102" s="5">
        <v>130410.15</v>
      </c>
      <c r="CA102" s="5">
        <v>4.75</v>
      </c>
      <c r="CB102" s="5">
        <v>0</v>
      </c>
      <c r="CC102" s="5">
        <v>0</v>
      </c>
    </row>
    <row r="103" spans="1:81" x14ac:dyDescent="0.2">
      <c r="A103" s="2">
        <v>41426</v>
      </c>
      <c r="B103">
        <v>2013</v>
      </c>
      <c r="C103">
        <v>6</v>
      </c>
      <c r="E103">
        <v>4.625</v>
      </c>
      <c r="F103">
        <v>13.31</v>
      </c>
      <c r="G103">
        <v>16.25</v>
      </c>
      <c r="H103">
        <v>2.75</v>
      </c>
      <c r="I103">
        <v>3.83</v>
      </c>
      <c r="J103">
        <v>3.2214</v>
      </c>
      <c r="K103">
        <v>1.0314000000000001</v>
      </c>
      <c r="L103">
        <v>1.3197000000000001</v>
      </c>
      <c r="M103">
        <v>97.234999999999999</v>
      </c>
      <c r="N103">
        <v>6.1341999999999999</v>
      </c>
      <c r="O103">
        <v>1.2795229779999999</v>
      </c>
      <c r="P103">
        <v>94.274772150000004</v>
      </c>
      <c r="Q103">
        <v>5.9474500680000002</v>
      </c>
      <c r="R103">
        <v>4706678</v>
      </c>
      <c r="S103">
        <v>15162052</v>
      </c>
      <c r="T103">
        <v>17992.72</v>
      </c>
      <c r="U103">
        <v>15857.8</v>
      </c>
      <c r="W103">
        <v>19718750</v>
      </c>
      <c r="X103">
        <v>26250000</v>
      </c>
      <c r="Y103">
        <v>3472.27</v>
      </c>
      <c r="Z103">
        <v>298.93</v>
      </c>
      <c r="AA103">
        <v>235.19</v>
      </c>
      <c r="AB103">
        <v>112.37</v>
      </c>
      <c r="AC103">
        <v>118.8</v>
      </c>
      <c r="AD103">
        <v>4237.5600000000004</v>
      </c>
      <c r="AE103">
        <v>36743283</v>
      </c>
      <c r="AF103">
        <v>4471463</v>
      </c>
      <c r="AG103">
        <v>3160701</v>
      </c>
      <c r="AH103">
        <v>1403352</v>
      </c>
      <c r="AI103">
        <v>1702579</v>
      </c>
      <c r="AJ103">
        <v>47481378</v>
      </c>
      <c r="AK103">
        <v>146</v>
      </c>
      <c r="AL103">
        <v>770</v>
      </c>
      <c r="AM103">
        <v>22</v>
      </c>
      <c r="AN103">
        <v>152</v>
      </c>
      <c r="AO103">
        <v>153</v>
      </c>
      <c r="AP103">
        <v>1243</v>
      </c>
      <c r="AQ103">
        <v>2260633</v>
      </c>
      <c r="AR103">
        <v>11028299</v>
      </c>
      <c r="AS103">
        <v>336340</v>
      </c>
      <c r="AT103">
        <v>1366348</v>
      </c>
      <c r="AU103">
        <v>2402381</v>
      </c>
      <c r="AV103">
        <v>17394001</v>
      </c>
      <c r="AW103">
        <v>4.8</v>
      </c>
      <c r="AX103">
        <v>6.78</v>
      </c>
      <c r="AY103">
        <v>6.1</v>
      </c>
      <c r="AZ103">
        <v>5.66</v>
      </c>
      <c r="BA103">
        <v>5.08</v>
      </c>
      <c r="BB103">
        <v>7.02</v>
      </c>
      <c r="BC103">
        <v>6.5</v>
      </c>
      <c r="BD103">
        <v>6.93</v>
      </c>
      <c r="BE103">
        <v>4.08</v>
      </c>
      <c r="BF103">
        <v>6.35</v>
      </c>
      <c r="BG103">
        <v>0.81940000000000002</v>
      </c>
      <c r="BH103">
        <v>7.0499999999999993E-2</v>
      </c>
      <c r="BI103">
        <v>5.5500000000000001E-2</v>
      </c>
      <c r="BJ103">
        <v>2.6499999999999999E-2</v>
      </c>
      <c r="BK103">
        <v>0.11749999999999999</v>
      </c>
      <c r="BL103">
        <v>0.61950000000000005</v>
      </c>
      <c r="BM103">
        <v>1.77E-2</v>
      </c>
      <c r="BN103">
        <v>0.12230000000000001</v>
      </c>
      <c r="BO103">
        <v>-0.57999999999999996</v>
      </c>
      <c r="BP103">
        <v>1.98</v>
      </c>
      <c r="BQ103">
        <v>1.3</v>
      </c>
      <c r="BR103">
        <v>0.86</v>
      </c>
      <c r="BS103">
        <v>19718750</v>
      </c>
      <c r="BT103">
        <v>3298179.86</v>
      </c>
      <c r="BU103">
        <v>11.29</v>
      </c>
      <c r="BV103">
        <v>2225524.21</v>
      </c>
      <c r="BW103">
        <v>13.19</v>
      </c>
      <c r="BX103">
        <v>326303.60159999999</v>
      </c>
      <c r="BY103">
        <v>5.23183928</v>
      </c>
      <c r="BZ103" s="5">
        <v>576643.77</v>
      </c>
      <c r="CA103" s="5">
        <v>5.62</v>
      </c>
      <c r="CB103" s="5">
        <v>473725.29</v>
      </c>
      <c r="CC103" s="5">
        <v>6.32</v>
      </c>
    </row>
    <row r="104" spans="1:81" x14ac:dyDescent="0.2">
      <c r="A104" s="2">
        <v>41456</v>
      </c>
      <c r="B104">
        <v>2013</v>
      </c>
      <c r="C104">
        <v>7</v>
      </c>
      <c r="E104">
        <v>3.9780000000000002</v>
      </c>
      <c r="F104">
        <v>13.11</v>
      </c>
      <c r="G104">
        <v>16.25</v>
      </c>
      <c r="I104">
        <v>3.31</v>
      </c>
      <c r="J104">
        <v>2.4199000000000002</v>
      </c>
      <c r="K104">
        <v>1.0402</v>
      </c>
      <c r="L104">
        <v>1.3088</v>
      </c>
      <c r="M104">
        <v>99.672700000000006</v>
      </c>
      <c r="N104">
        <v>6.1342999999999996</v>
      </c>
      <c r="O104">
        <v>1.2582195730000001</v>
      </c>
      <c r="P104">
        <v>95.820707560000002</v>
      </c>
      <c r="Q104">
        <v>5.8972313019999998</v>
      </c>
      <c r="R104">
        <v>24627366</v>
      </c>
      <c r="S104">
        <v>59594909</v>
      </c>
      <c r="T104">
        <v>12928.5</v>
      </c>
      <c r="U104">
        <v>1757.7</v>
      </c>
      <c r="W104">
        <v>26250000</v>
      </c>
      <c r="X104">
        <v>26250000</v>
      </c>
      <c r="Y104">
        <v>1643.99</v>
      </c>
      <c r="Z104">
        <v>291.5</v>
      </c>
      <c r="AA104">
        <v>205.05</v>
      </c>
      <c r="AB104">
        <v>96.42</v>
      </c>
      <c r="AC104">
        <v>80.31</v>
      </c>
      <c r="AD104">
        <v>2317.27</v>
      </c>
      <c r="AE104">
        <v>20921539</v>
      </c>
      <c r="AF104">
        <v>4574141</v>
      </c>
      <c r="AG104">
        <v>3090919</v>
      </c>
      <c r="AH104">
        <v>773647</v>
      </c>
      <c r="AI104">
        <v>2146341</v>
      </c>
      <c r="AJ104">
        <v>31506587</v>
      </c>
      <c r="AK104">
        <v>202</v>
      </c>
      <c r="AL104">
        <v>854</v>
      </c>
      <c r="AM104">
        <v>24</v>
      </c>
      <c r="AN104">
        <v>4583</v>
      </c>
      <c r="AO104">
        <v>141</v>
      </c>
      <c r="AP104">
        <v>5804</v>
      </c>
      <c r="AQ104">
        <v>3101538</v>
      </c>
      <c r="AR104">
        <v>12663874</v>
      </c>
      <c r="AS104">
        <v>358992</v>
      </c>
      <c r="AT104">
        <v>30967396</v>
      </c>
      <c r="AU104">
        <v>2288078</v>
      </c>
      <c r="AV104">
        <v>49379878</v>
      </c>
      <c r="AW104">
        <v>5.77</v>
      </c>
      <c r="AX104">
        <v>7.12</v>
      </c>
      <c r="AY104">
        <v>6.84</v>
      </c>
      <c r="AZ104">
        <v>3.64</v>
      </c>
      <c r="BA104">
        <v>6.17</v>
      </c>
      <c r="BB104">
        <v>6.96</v>
      </c>
      <c r="BC104">
        <v>6.73</v>
      </c>
      <c r="BD104">
        <v>6.78</v>
      </c>
      <c r="BE104">
        <v>3.06</v>
      </c>
      <c r="BF104">
        <v>3.86</v>
      </c>
      <c r="BG104">
        <v>0.70950000000000002</v>
      </c>
      <c r="BH104">
        <v>0.1258</v>
      </c>
      <c r="BI104">
        <v>8.8499999999999995E-2</v>
      </c>
      <c r="BJ104">
        <v>4.1599999999999998E-2</v>
      </c>
      <c r="BK104">
        <v>3.4799999999999998E-2</v>
      </c>
      <c r="BL104">
        <v>0.14710000000000001</v>
      </c>
      <c r="BM104">
        <v>4.1000000000000003E-3</v>
      </c>
      <c r="BN104">
        <v>0.78959999999999997</v>
      </c>
      <c r="BO104">
        <v>-2.48</v>
      </c>
      <c r="BP104">
        <v>1.35</v>
      </c>
      <c r="BQ104">
        <v>1.06</v>
      </c>
      <c r="BR104">
        <v>-2.13</v>
      </c>
      <c r="BS104">
        <v>26250000</v>
      </c>
      <c r="BT104">
        <v>1965240.16</v>
      </c>
      <c r="BU104">
        <v>11.81</v>
      </c>
      <c r="BV104">
        <v>738.55</v>
      </c>
      <c r="BW104">
        <v>12.48</v>
      </c>
      <c r="BX104">
        <v>13201.26456</v>
      </c>
      <c r="BY104">
        <v>5.6343844680000004</v>
      </c>
      <c r="BZ104" s="5">
        <v>636371.44999999995</v>
      </c>
      <c r="CA104" s="5">
        <v>7.29</v>
      </c>
      <c r="CB104" s="5">
        <v>528620.43000000005</v>
      </c>
      <c r="CC104" s="5">
        <v>6.55</v>
      </c>
    </row>
    <row r="105" spans="1:81" x14ac:dyDescent="0.2">
      <c r="A105" s="2">
        <v>41487</v>
      </c>
      <c r="B105">
        <v>2013</v>
      </c>
      <c r="C105">
        <v>8</v>
      </c>
      <c r="E105">
        <v>3.8439999999999999</v>
      </c>
      <c r="F105">
        <v>13</v>
      </c>
      <c r="G105">
        <v>16.25</v>
      </c>
      <c r="J105">
        <v>2.2263000000000002</v>
      </c>
      <c r="K105">
        <v>1.0407</v>
      </c>
      <c r="L105">
        <v>1.3313999999999999</v>
      </c>
      <c r="M105">
        <v>97.812299999999993</v>
      </c>
      <c r="N105">
        <v>6.1212999999999997</v>
      </c>
      <c r="O105">
        <v>1.2793312189999999</v>
      </c>
      <c r="P105">
        <v>93.987027960000006</v>
      </c>
      <c r="Q105">
        <v>5.8819064089999999</v>
      </c>
      <c r="R105">
        <v>33307648</v>
      </c>
      <c r="S105">
        <v>74153593</v>
      </c>
      <c r="T105">
        <v>15612.11</v>
      </c>
      <c r="U105">
        <v>504</v>
      </c>
      <c r="W105">
        <v>14667808.5</v>
      </c>
      <c r="X105">
        <v>26250000</v>
      </c>
      <c r="Y105">
        <v>910.28</v>
      </c>
      <c r="Z105">
        <v>319.22000000000003</v>
      </c>
      <c r="AA105">
        <v>183.13</v>
      </c>
      <c r="AB105">
        <v>100.6</v>
      </c>
      <c r="AC105">
        <v>85.13</v>
      </c>
      <c r="AD105">
        <v>1598.36</v>
      </c>
      <c r="AE105">
        <v>13111444</v>
      </c>
      <c r="AF105">
        <v>5746881</v>
      </c>
      <c r="AG105">
        <v>2949021</v>
      </c>
      <c r="AH105">
        <v>981883</v>
      </c>
      <c r="AI105">
        <v>2317607</v>
      </c>
      <c r="AJ105">
        <v>25106836</v>
      </c>
      <c r="AK105">
        <v>252</v>
      </c>
      <c r="AL105">
        <v>957</v>
      </c>
      <c r="AM105">
        <v>23</v>
      </c>
      <c r="AN105">
        <v>8166</v>
      </c>
      <c r="AO105">
        <v>163</v>
      </c>
      <c r="AP105">
        <v>9561</v>
      </c>
      <c r="AQ105">
        <v>3904208</v>
      </c>
      <c r="AR105">
        <v>13737967</v>
      </c>
      <c r="AS105">
        <v>323218</v>
      </c>
      <c r="AT105">
        <v>53417225</v>
      </c>
      <c r="AU105">
        <v>2826369</v>
      </c>
      <c r="AV105">
        <v>74208987</v>
      </c>
      <c r="AW105">
        <v>6.53</v>
      </c>
      <c r="AX105">
        <v>8.17</v>
      </c>
      <c r="AY105">
        <v>7.3</v>
      </c>
      <c r="AZ105">
        <v>4.43</v>
      </c>
      <c r="BA105">
        <v>7.12</v>
      </c>
      <c r="BB105">
        <v>7.03</v>
      </c>
      <c r="BC105">
        <v>6.51</v>
      </c>
      <c r="BD105">
        <v>6.37</v>
      </c>
      <c r="BE105">
        <v>2.97</v>
      </c>
      <c r="BF105">
        <v>3.52</v>
      </c>
      <c r="BG105">
        <v>0.56950000000000001</v>
      </c>
      <c r="BH105">
        <v>0.19969999999999999</v>
      </c>
      <c r="BI105">
        <v>0.11459999999999999</v>
      </c>
      <c r="BJ105">
        <v>6.2899999999999998E-2</v>
      </c>
      <c r="BK105">
        <v>2.64E-2</v>
      </c>
      <c r="BL105">
        <v>0.10009999999999999</v>
      </c>
      <c r="BM105">
        <v>2.3999999999999998E-3</v>
      </c>
      <c r="BN105">
        <v>0.85409999999999997</v>
      </c>
      <c r="BO105">
        <v>-3.31</v>
      </c>
      <c r="BP105">
        <v>1.64</v>
      </c>
      <c r="BQ105">
        <v>0.77</v>
      </c>
      <c r="BR105">
        <v>-2.11</v>
      </c>
      <c r="BS105">
        <v>14667808.5</v>
      </c>
      <c r="BT105">
        <v>2413190.2799999998</v>
      </c>
      <c r="BU105">
        <v>11.05</v>
      </c>
      <c r="BV105">
        <v>1634664</v>
      </c>
      <c r="BW105">
        <v>12.32</v>
      </c>
      <c r="BX105">
        <v>154140.41649999999</v>
      </c>
      <c r="BY105">
        <v>3.708125441</v>
      </c>
      <c r="BZ105" s="5">
        <v>235015.17</v>
      </c>
      <c r="CA105" s="5">
        <v>7.35</v>
      </c>
      <c r="CB105" s="5">
        <v>501175.06</v>
      </c>
      <c r="CC105" s="5">
        <v>6.47</v>
      </c>
    </row>
    <row r="106" spans="1:81" x14ac:dyDescent="0.2">
      <c r="A106" s="2">
        <v>41518</v>
      </c>
      <c r="B106">
        <v>2013</v>
      </c>
      <c r="C106">
        <v>9</v>
      </c>
      <c r="E106">
        <v>4.306</v>
      </c>
      <c r="F106">
        <v>13.34</v>
      </c>
      <c r="G106">
        <v>16.309999999999999</v>
      </c>
      <c r="J106">
        <v>2.7953000000000001</v>
      </c>
      <c r="K106">
        <v>1.0342</v>
      </c>
      <c r="L106">
        <v>1.3364</v>
      </c>
      <c r="M106">
        <v>99.21</v>
      </c>
      <c r="N106">
        <v>6.1197999999999997</v>
      </c>
      <c r="O106">
        <v>1.2922065359999999</v>
      </c>
      <c r="P106">
        <v>95.929220650000005</v>
      </c>
      <c r="Q106">
        <v>5.9174240960000004</v>
      </c>
      <c r="R106">
        <v>22129219</v>
      </c>
      <c r="S106">
        <v>61858103</v>
      </c>
      <c r="T106">
        <v>10541.66</v>
      </c>
      <c r="U106">
        <v>504</v>
      </c>
      <c r="W106">
        <v>7917186.7999999998</v>
      </c>
      <c r="X106">
        <v>26250000</v>
      </c>
      <c r="Y106">
        <v>304.36</v>
      </c>
      <c r="Z106">
        <v>336.29</v>
      </c>
      <c r="AA106">
        <v>130.31</v>
      </c>
      <c r="AB106">
        <v>98.41</v>
      </c>
      <c r="AC106">
        <v>107.36</v>
      </c>
      <c r="AD106">
        <v>976.73</v>
      </c>
      <c r="AE106">
        <v>4505933</v>
      </c>
      <c r="AF106">
        <v>5814867</v>
      </c>
      <c r="AG106">
        <v>2089524</v>
      </c>
      <c r="AH106">
        <v>1323108</v>
      </c>
      <c r="AI106">
        <v>2179854</v>
      </c>
      <c r="AJ106">
        <v>15913286</v>
      </c>
      <c r="AK106">
        <v>330</v>
      </c>
      <c r="AL106">
        <v>822</v>
      </c>
      <c r="AM106">
        <v>21</v>
      </c>
      <c r="AN106">
        <v>5731</v>
      </c>
      <c r="AO106">
        <v>170</v>
      </c>
      <c r="AP106">
        <v>7074</v>
      </c>
      <c r="AQ106">
        <v>5018195</v>
      </c>
      <c r="AR106">
        <v>11538151</v>
      </c>
      <c r="AS106">
        <v>334805</v>
      </c>
      <c r="AT106">
        <v>44601177</v>
      </c>
      <c r="AU106">
        <v>2785659</v>
      </c>
      <c r="AV106">
        <v>64277987</v>
      </c>
      <c r="AW106">
        <v>6.72</v>
      </c>
      <c r="AX106">
        <v>7.84</v>
      </c>
      <c r="AY106">
        <v>7.27</v>
      </c>
      <c r="AZ106">
        <v>6.1</v>
      </c>
      <c r="BA106">
        <v>7.39</v>
      </c>
      <c r="BB106">
        <v>6.9</v>
      </c>
      <c r="BC106">
        <v>6.37</v>
      </c>
      <c r="BD106">
        <v>7.23</v>
      </c>
      <c r="BE106">
        <v>3.53</v>
      </c>
      <c r="BF106">
        <v>4.12</v>
      </c>
      <c r="BG106">
        <v>0.31159999999999999</v>
      </c>
      <c r="BH106">
        <v>0.34429999999999999</v>
      </c>
      <c r="BI106">
        <v>0.13339999999999999</v>
      </c>
      <c r="BJ106">
        <v>0.1008</v>
      </c>
      <c r="BK106">
        <v>4.6600000000000003E-2</v>
      </c>
      <c r="BL106">
        <v>0.1162</v>
      </c>
      <c r="BM106">
        <v>3.0000000000000001E-3</v>
      </c>
      <c r="BN106">
        <v>0.81010000000000004</v>
      </c>
      <c r="BO106">
        <v>-2.96</v>
      </c>
      <c r="BP106">
        <v>1.1200000000000001</v>
      </c>
      <c r="BQ106">
        <v>0.56000000000000005</v>
      </c>
      <c r="BR106">
        <v>-0.62</v>
      </c>
      <c r="BS106">
        <v>7917186.7999999998</v>
      </c>
      <c r="BT106">
        <v>1976223.57</v>
      </c>
      <c r="BU106">
        <v>10.8</v>
      </c>
      <c r="BV106">
        <v>1145743.22</v>
      </c>
      <c r="BW106">
        <v>12.79</v>
      </c>
      <c r="BX106">
        <v>95806.171340000001</v>
      </c>
      <c r="BY106">
        <v>4.8827439139999997</v>
      </c>
      <c r="BZ106" s="5">
        <v>312626.77</v>
      </c>
      <c r="CA106" s="5">
        <v>7.18</v>
      </c>
      <c r="CB106" s="5">
        <v>257383.29</v>
      </c>
      <c r="CC106" s="5">
        <v>6.24</v>
      </c>
    </row>
    <row r="107" spans="1:81" x14ac:dyDescent="0.2">
      <c r="A107" s="2">
        <v>41548</v>
      </c>
      <c r="B107">
        <v>2013</v>
      </c>
      <c r="C107">
        <v>10</v>
      </c>
      <c r="E107">
        <v>4.71</v>
      </c>
      <c r="F107">
        <v>14.5</v>
      </c>
      <c r="G107">
        <v>16.850000000000001</v>
      </c>
      <c r="J107">
        <v>3.3077000000000001</v>
      </c>
      <c r="K107">
        <v>1.0363</v>
      </c>
      <c r="L107">
        <v>1.3646</v>
      </c>
      <c r="M107">
        <v>97.77</v>
      </c>
      <c r="N107">
        <v>6.1032000000000002</v>
      </c>
      <c r="O107">
        <v>1.3168001540000001</v>
      </c>
      <c r="P107">
        <v>94.345266809999998</v>
      </c>
      <c r="Q107">
        <v>5.8894142619999998</v>
      </c>
      <c r="R107">
        <v>21876357</v>
      </c>
      <c r="S107">
        <v>72359656</v>
      </c>
      <c r="T107">
        <v>11146.56</v>
      </c>
      <c r="U107">
        <v>1223.5999999999999</v>
      </c>
      <c r="W107">
        <v>3400000</v>
      </c>
      <c r="X107">
        <v>26250000</v>
      </c>
      <c r="Y107">
        <v>506.11</v>
      </c>
      <c r="Z107">
        <v>202.97</v>
      </c>
      <c r="AA107">
        <v>131.15</v>
      </c>
      <c r="AB107">
        <v>107.08</v>
      </c>
      <c r="AC107">
        <v>96.68</v>
      </c>
      <c r="AD107">
        <v>1043.99</v>
      </c>
      <c r="AE107">
        <v>6596824</v>
      </c>
      <c r="AF107">
        <v>3560053</v>
      </c>
      <c r="AG107">
        <v>2079638</v>
      </c>
      <c r="AH107">
        <v>1382170</v>
      </c>
      <c r="AI107">
        <v>2139257</v>
      </c>
      <c r="AJ107">
        <v>15757942</v>
      </c>
      <c r="AK107">
        <v>503</v>
      </c>
      <c r="AL107">
        <v>730</v>
      </c>
      <c r="AM107">
        <v>26</v>
      </c>
      <c r="AN107">
        <v>6216</v>
      </c>
      <c r="AO107">
        <v>254</v>
      </c>
      <c r="AP107">
        <v>7729</v>
      </c>
      <c r="AQ107">
        <v>7341561</v>
      </c>
      <c r="AR107">
        <v>10277314</v>
      </c>
      <c r="AS107">
        <v>401468</v>
      </c>
      <c r="AT107">
        <v>56436936</v>
      </c>
      <c r="AU107">
        <v>3990569</v>
      </c>
      <c r="AV107">
        <v>78447848</v>
      </c>
      <c r="AW107">
        <v>5.91</v>
      </c>
      <c r="AX107">
        <v>7.96</v>
      </c>
      <c r="AY107">
        <v>7.19</v>
      </c>
      <c r="AZ107">
        <v>5.85</v>
      </c>
      <c r="BA107">
        <v>6.85</v>
      </c>
      <c r="BB107">
        <v>6.62</v>
      </c>
      <c r="BC107">
        <v>6.39</v>
      </c>
      <c r="BD107">
        <v>7</v>
      </c>
      <c r="BE107">
        <v>4.12</v>
      </c>
      <c r="BF107">
        <v>4.5999999999999996</v>
      </c>
      <c r="BG107">
        <v>0.48480000000000001</v>
      </c>
      <c r="BH107">
        <v>0.19439999999999999</v>
      </c>
      <c r="BI107">
        <v>0.12559999999999999</v>
      </c>
      <c r="BJ107">
        <v>0.1026</v>
      </c>
      <c r="BK107">
        <v>6.5100000000000005E-2</v>
      </c>
      <c r="BL107">
        <v>9.4399999999999998E-2</v>
      </c>
      <c r="BM107">
        <v>3.3999999999999998E-3</v>
      </c>
      <c r="BN107">
        <v>0.80420000000000003</v>
      </c>
      <c r="BO107">
        <v>-1.59</v>
      </c>
      <c r="BP107">
        <v>2.0499999999999998</v>
      </c>
      <c r="BQ107">
        <v>1.28</v>
      </c>
      <c r="BR107">
        <v>-0.06</v>
      </c>
      <c r="BS107">
        <v>3400000</v>
      </c>
      <c r="BT107">
        <v>2141428.98</v>
      </c>
      <c r="BU107">
        <v>10.95</v>
      </c>
      <c r="BV107">
        <v>14050.04</v>
      </c>
      <c r="BW107">
        <v>5.86</v>
      </c>
      <c r="BX107">
        <v>100435.87330000001</v>
      </c>
      <c r="BY107">
        <v>4.7265283230000001</v>
      </c>
      <c r="BZ107" s="5">
        <v>396790.51</v>
      </c>
      <c r="CA107" s="5">
        <v>7.51</v>
      </c>
      <c r="CB107" s="5">
        <v>397398.98</v>
      </c>
      <c r="CC107" s="5">
        <v>6.99</v>
      </c>
    </row>
    <row r="108" spans="1:81" x14ac:dyDescent="0.2">
      <c r="A108" s="2">
        <v>41579</v>
      </c>
      <c r="B108">
        <v>2013</v>
      </c>
      <c r="C108">
        <v>11</v>
      </c>
      <c r="E108">
        <v>4.95</v>
      </c>
      <c r="F108">
        <v>14.75</v>
      </c>
      <c r="G108">
        <v>17</v>
      </c>
      <c r="J108">
        <v>3.5301</v>
      </c>
      <c r="K108">
        <v>1.0486</v>
      </c>
      <c r="L108">
        <v>1.3491</v>
      </c>
      <c r="M108">
        <v>100.0737</v>
      </c>
      <c r="N108">
        <v>6.0929000000000002</v>
      </c>
      <c r="O108">
        <v>1.2865725729999999</v>
      </c>
      <c r="P108">
        <v>95.435533090000007</v>
      </c>
      <c r="Q108">
        <v>5.81050925</v>
      </c>
      <c r="R108">
        <v>9705685</v>
      </c>
      <c r="S108">
        <v>34261696</v>
      </c>
      <c r="T108">
        <v>7032.13</v>
      </c>
      <c r="U108">
        <v>2629.7</v>
      </c>
      <c r="W108">
        <v>4843750</v>
      </c>
      <c r="X108">
        <v>26250000</v>
      </c>
      <c r="Y108">
        <v>1257.95</v>
      </c>
      <c r="Z108">
        <v>275.67</v>
      </c>
      <c r="AA108">
        <v>182.11</v>
      </c>
      <c r="AB108">
        <v>94.46</v>
      </c>
      <c r="AC108">
        <v>85.32</v>
      </c>
      <c r="AD108">
        <v>1895.51</v>
      </c>
      <c r="AE108">
        <v>15187531</v>
      </c>
      <c r="AF108">
        <v>4567706</v>
      </c>
      <c r="AG108">
        <v>2771817</v>
      </c>
      <c r="AH108">
        <v>1132347</v>
      </c>
      <c r="AI108">
        <v>2005180</v>
      </c>
      <c r="AJ108">
        <v>25664581</v>
      </c>
      <c r="AK108">
        <v>363</v>
      </c>
      <c r="AL108">
        <v>635</v>
      </c>
      <c r="AM108">
        <v>32</v>
      </c>
      <c r="AN108">
        <v>2525</v>
      </c>
      <c r="AO108">
        <v>283</v>
      </c>
      <c r="AP108">
        <v>3838</v>
      </c>
      <c r="AQ108">
        <v>5312461</v>
      </c>
      <c r="AR108">
        <v>9067785</v>
      </c>
      <c r="AS108">
        <v>471229</v>
      </c>
      <c r="AT108">
        <v>24074506</v>
      </c>
      <c r="AU108">
        <v>4322223</v>
      </c>
      <c r="AV108">
        <v>43248204</v>
      </c>
      <c r="AW108">
        <v>5.48</v>
      </c>
      <c r="AX108">
        <v>7.52</v>
      </c>
      <c r="AY108">
        <v>6.9</v>
      </c>
      <c r="AZ108">
        <v>5.44</v>
      </c>
      <c r="BA108">
        <v>6.14</v>
      </c>
      <c r="BB108">
        <v>6.64</v>
      </c>
      <c r="BC108">
        <v>6.48</v>
      </c>
      <c r="BD108">
        <v>6.68</v>
      </c>
      <c r="BE108">
        <v>4.32</v>
      </c>
      <c r="BF108">
        <v>5.1100000000000003</v>
      </c>
      <c r="BG108">
        <v>0.66359999999999997</v>
      </c>
      <c r="BH108">
        <v>0.1454</v>
      </c>
      <c r="BI108">
        <v>9.6100000000000005E-2</v>
      </c>
      <c r="BJ108">
        <v>4.9799999999999997E-2</v>
      </c>
      <c r="BK108">
        <v>9.4600000000000004E-2</v>
      </c>
      <c r="BL108">
        <v>0.16550000000000001</v>
      </c>
      <c r="BM108">
        <v>8.3000000000000001E-3</v>
      </c>
      <c r="BN108">
        <v>0.65790000000000004</v>
      </c>
      <c r="BO108">
        <v>-0.9</v>
      </c>
      <c r="BP108">
        <v>2.04</v>
      </c>
      <c r="BQ108">
        <v>1.43</v>
      </c>
      <c r="BR108">
        <v>-0.04</v>
      </c>
      <c r="BS108">
        <v>4843750</v>
      </c>
      <c r="BT108">
        <v>1336930.07</v>
      </c>
      <c r="BU108">
        <v>11.05</v>
      </c>
      <c r="BV108">
        <v>9012.49</v>
      </c>
      <c r="BW108">
        <v>10.85</v>
      </c>
      <c r="BX108">
        <v>56420.635040000001</v>
      </c>
      <c r="BY108">
        <v>3.5565179269999998</v>
      </c>
      <c r="BZ108" s="5">
        <v>400582.46</v>
      </c>
      <c r="CA108" s="5">
        <v>6.4</v>
      </c>
      <c r="CB108" s="5">
        <v>353846.63</v>
      </c>
      <c r="CC108" s="5">
        <v>6.75</v>
      </c>
    </row>
    <row r="109" spans="1:81" x14ac:dyDescent="0.2">
      <c r="A109" s="2">
        <v>41609</v>
      </c>
      <c r="B109">
        <v>2013</v>
      </c>
      <c r="C109">
        <v>12</v>
      </c>
      <c r="E109">
        <v>6.3719999999999999</v>
      </c>
      <c r="F109">
        <v>15.53</v>
      </c>
      <c r="G109">
        <v>17</v>
      </c>
      <c r="J109">
        <v>4.1189999999999998</v>
      </c>
      <c r="K109">
        <v>1.0639000000000001</v>
      </c>
      <c r="L109">
        <v>1.3708</v>
      </c>
      <c r="M109">
        <v>103.46</v>
      </c>
      <c r="N109">
        <v>6.0738000000000003</v>
      </c>
      <c r="O109">
        <v>1.2884669609999999</v>
      </c>
      <c r="P109">
        <v>97.24598177</v>
      </c>
      <c r="Q109">
        <v>5.708995206</v>
      </c>
      <c r="R109">
        <v>4297151</v>
      </c>
      <c r="S109">
        <v>17699774</v>
      </c>
      <c r="T109">
        <v>20710.96</v>
      </c>
      <c r="U109">
        <v>18761.8</v>
      </c>
      <c r="W109">
        <v>19187500</v>
      </c>
      <c r="X109">
        <v>26250000</v>
      </c>
      <c r="Y109">
        <v>5634.24</v>
      </c>
      <c r="Z109">
        <v>465.52</v>
      </c>
      <c r="AA109">
        <v>886.62</v>
      </c>
      <c r="AB109">
        <v>276.43</v>
      </c>
      <c r="AC109">
        <v>149.05000000000001</v>
      </c>
      <c r="AD109">
        <v>7411.86</v>
      </c>
      <c r="AE109">
        <v>74174559</v>
      </c>
      <c r="AF109">
        <v>7648075</v>
      </c>
      <c r="AG109">
        <v>14031318</v>
      </c>
      <c r="AH109">
        <v>2025582</v>
      </c>
      <c r="AI109">
        <v>5392115</v>
      </c>
      <c r="AJ109">
        <v>103271649</v>
      </c>
      <c r="AK109">
        <v>315</v>
      </c>
      <c r="AL109">
        <v>2197</v>
      </c>
      <c r="AM109">
        <v>38</v>
      </c>
      <c r="AN109">
        <v>753</v>
      </c>
      <c r="AO109">
        <v>326</v>
      </c>
      <c r="AP109">
        <v>3629</v>
      </c>
      <c r="AQ109">
        <v>4654196</v>
      </c>
      <c r="AR109">
        <v>32527768</v>
      </c>
      <c r="AS109">
        <v>571764</v>
      </c>
      <c r="AT109">
        <v>9129968</v>
      </c>
      <c r="AU109">
        <v>5138619</v>
      </c>
      <c r="AV109">
        <v>52022315</v>
      </c>
      <c r="AW109">
        <v>5.97</v>
      </c>
      <c r="AX109">
        <v>7.45</v>
      </c>
      <c r="AY109">
        <v>7.18</v>
      </c>
      <c r="AZ109">
        <v>3.32</v>
      </c>
      <c r="BA109">
        <v>6.32</v>
      </c>
      <c r="BB109">
        <v>6.7</v>
      </c>
      <c r="BC109">
        <v>6.72</v>
      </c>
      <c r="BD109">
        <v>6.82</v>
      </c>
      <c r="BE109">
        <v>5.5</v>
      </c>
      <c r="BF109">
        <v>6.5</v>
      </c>
      <c r="BG109">
        <v>0.76019999999999999</v>
      </c>
      <c r="BH109">
        <v>6.2799999999999995E-2</v>
      </c>
      <c r="BI109">
        <v>0.1196</v>
      </c>
      <c r="BJ109">
        <v>3.73E-2</v>
      </c>
      <c r="BK109">
        <v>8.6800000000000002E-2</v>
      </c>
      <c r="BL109">
        <v>0.60540000000000005</v>
      </c>
      <c r="BM109">
        <v>1.0500000000000001E-2</v>
      </c>
      <c r="BN109">
        <v>0.20749999999999999</v>
      </c>
      <c r="BO109">
        <v>-0.11</v>
      </c>
      <c r="BP109">
        <v>1.48</v>
      </c>
      <c r="BQ109">
        <v>1.21</v>
      </c>
      <c r="BR109">
        <v>-2.65</v>
      </c>
      <c r="BS109">
        <v>19187500</v>
      </c>
      <c r="BT109">
        <v>1653923.56</v>
      </c>
      <c r="BU109">
        <v>10.4</v>
      </c>
      <c r="BV109">
        <v>328704.43</v>
      </c>
      <c r="BW109">
        <v>11.54</v>
      </c>
      <c r="BX109">
        <v>120339.1827</v>
      </c>
      <c r="BY109">
        <v>3.5163858559999999</v>
      </c>
      <c r="BZ109" s="5">
        <v>208059.23</v>
      </c>
      <c r="CA109" s="5">
        <v>7.24</v>
      </c>
      <c r="CB109" s="5">
        <v>105180.43</v>
      </c>
      <c r="CC109" s="5">
        <v>6.21</v>
      </c>
    </row>
    <row r="110" spans="1:81" x14ac:dyDescent="0.2">
      <c r="A110" s="2">
        <v>41640</v>
      </c>
      <c r="B110">
        <v>2014</v>
      </c>
      <c r="C110">
        <v>1</v>
      </c>
      <c r="E110">
        <v>7.0609999999999999</v>
      </c>
      <c r="F110">
        <v>16.059999999999999</v>
      </c>
      <c r="G110">
        <v>17.190000000000001</v>
      </c>
      <c r="J110">
        <v>5.0046999999999997</v>
      </c>
      <c r="K110">
        <v>1.0940000000000001</v>
      </c>
      <c r="L110">
        <v>1.3617999999999999</v>
      </c>
      <c r="M110">
        <v>103.76139999999999</v>
      </c>
      <c r="N110">
        <v>6.0509000000000004</v>
      </c>
      <c r="O110">
        <v>1.2447897619999999</v>
      </c>
      <c r="P110">
        <v>94.845886649999997</v>
      </c>
      <c r="Q110">
        <v>5.5309872029999996</v>
      </c>
      <c r="R110">
        <v>1347145</v>
      </c>
      <c r="S110">
        <v>6742062</v>
      </c>
      <c r="T110">
        <v>10740.26</v>
      </c>
      <c r="U110">
        <v>10129.200000000001</v>
      </c>
      <c r="W110">
        <v>15625000</v>
      </c>
      <c r="X110">
        <v>26250000</v>
      </c>
      <c r="Y110">
        <v>2241.0300000000002</v>
      </c>
      <c r="Z110">
        <v>573.14</v>
      </c>
      <c r="AA110">
        <v>133.58000000000001</v>
      </c>
      <c r="AB110">
        <v>133.46</v>
      </c>
      <c r="AC110">
        <v>56.61</v>
      </c>
      <c r="AD110">
        <v>3137.82</v>
      </c>
      <c r="AE110">
        <v>33198950</v>
      </c>
      <c r="AF110">
        <v>9800378</v>
      </c>
      <c r="AG110">
        <v>2255265</v>
      </c>
      <c r="AH110">
        <v>708715</v>
      </c>
      <c r="AI110">
        <v>2706740</v>
      </c>
      <c r="AJ110">
        <v>48670048</v>
      </c>
      <c r="AK110">
        <v>401</v>
      </c>
      <c r="AL110">
        <v>507</v>
      </c>
      <c r="AM110">
        <v>16</v>
      </c>
      <c r="AN110">
        <v>131</v>
      </c>
      <c r="AO110">
        <v>307</v>
      </c>
      <c r="AP110">
        <v>1362</v>
      </c>
      <c r="AQ110">
        <v>6334290</v>
      </c>
      <c r="AR110">
        <v>7966478</v>
      </c>
      <c r="AS110">
        <v>279705</v>
      </c>
      <c r="AT110">
        <v>1873805</v>
      </c>
      <c r="AU110">
        <v>4922022</v>
      </c>
      <c r="AV110">
        <v>21376300</v>
      </c>
      <c r="AW110">
        <v>6.72</v>
      </c>
      <c r="AX110">
        <v>7.76</v>
      </c>
      <c r="AY110">
        <v>7.66</v>
      </c>
      <c r="AZ110">
        <v>2.41</v>
      </c>
      <c r="BA110">
        <v>7.04</v>
      </c>
      <c r="BB110">
        <v>7.17</v>
      </c>
      <c r="BC110">
        <v>7.13</v>
      </c>
      <c r="BD110">
        <v>7.93</v>
      </c>
      <c r="BE110">
        <v>6.49</v>
      </c>
      <c r="BF110">
        <v>7.12</v>
      </c>
      <c r="BG110">
        <v>0.71419999999999995</v>
      </c>
      <c r="BH110">
        <v>0.1827</v>
      </c>
      <c r="BI110">
        <v>4.2599999999999999E-2</v>
      </c>
      <c r="BJ110">
        <v>4.2500000000000003E-2</v>
      </c>
      <c r="BK110">
        <v>0.2944</v>
      </c>
      <c r="BL110">
        <v>0.37219999999999998</v>
      </c>
      <c r="BM110">
        <v>1.17E-2</v>
      </c>
      <c r="BN110">
        <v>9.6199999999999994E-2</v>
      </c>
      <c r="BO110">
        <v>0.35</v>
      </c>
      <c r="BP110">
        <v>1.04</v>
      </c>
      <c r="BQ110">
        <v>0.94</v>
      </c>
      <c r="BR110">
        <v>-4.3099999999999996</v>
      </c>
      <c r="BS110">
        <v>15625000</v>
      </c>
      <c r="BT110">
        <v>714528.37</v>
      </c>
      <c r="BU110">
        <v>10.44</v>
      </c>
      <c r="BV110">
        <v>4210.82</v>
      </c>
      <c r="BW110">
        <v>5.18</v>
      </c>
      <c r="BZ110" s="5">
        <v>130055.2</v>
      </c>
      <c r="CA110" s="5">
        <v>7.62</v>
      </c>
      <c r="CB110" s="5">
        <v>6946.77</v>
      </c>
      <c r="CC110" s="5">
        <v>6.02</v>
      </c>
    </row>
    <row r="111" spans="1:81" x14ac:dyDescent="0.2">
      <c r="A111" s="2">
        <v>41671</v>
      </c>
      <c r="B111">
        <v>2014</v>
      </c>
      <c r="C111">
        <v>2</v>
      </c>
      <c r="E111">
        <v>7.75</v>
      </c>
      <c r="F111">
        <v>16.5</v>
      </c>
      <c r="G111">
        <v>17.25</v>
      </c>
      <c r="J111">
        <v>5.8651</v>
      </c>
      <c r="K111">
        <v>1.1053999999999999</v>
      </c>
      <c r="L111">
        <v>1.3665</v>
      </c>
      <c r="M111">
        <v>102.1253</v>
      </c>
      <c r="N111">
        <v>6.0815999999999999</v>
      </c>
      <c r="O111">
        <v>1.2362040889999999</v>
      </c>
      <c r="P111">
        <v>92.387642479999997</v>
      </c>
      <c r="Q111">
        <v>5.5017188350000001</v>
      </c>
      <c r="R111">
        <v>931391</v>
      </c>
      <c r="S111">
        <v>5462681</v>
      </c>
      <c r="T111">
        <v>633.07000000000005</v>
      </c>
      <c r="U111">
        <v>210.6</v>
      </c>
      <c r="W111">
        <v>11500000</v>
      </c>
      <c r="X111">
        <v>26250000</v>
      </c>
      <c r="Y111">
        <v>2260.46</v>
      </c>
      <c r="Z111">
        <v>398.67</v>
      </c>
      <c r="AA111">
        <v>184.28</v>
      </c>
      <c r="AB111">
        <v>120.89</v>
      </c>
      <c r="AC111">
        <v>65.84</v>
      </c>
      <c r="AD111">
        <v>3030.14</v>
      </c>
      <c r="AE111">
        <v>36701769</v>
      </c>
      <c r="AF111">
        <v>7159097</v>
      </c>
      <c r="AG111">
        <v>3379381</v>
      </c>
      <c r="AH111">
        <v>823835</v>
      </c>
      <c r="AI111">
        <v>2740928</v>
      </c>
      <c r="AJ111">
        <v>50805010</v>
      </c>
      <c r="AK111">
        <v>230</v>
      </c>
      <c r="AL111">
        <v>529</v>
      </c>
      <c r="AM111">
        <v>17</v>
      </c>
      <c r="AN111">
        <v>27</v>
      </c>
      <c r="AO111">
        <v>195</v>
      </c>
      <c r="AP111">
        <v>998</v>
      </c>
      <c r="AQ111">
        <v>3653256</v>
      </c>
      <c r="AR111">
        <v>8331608</v>
      </c>
      <c r="AS111">
        <v>283396</v>
      </c>
      <c r="AT111">
        <v>321841</v>
      </c>
      <c r="AU111">
        <v>3327397</v>
      </c>
      <c r="AV111">
        <v>15917498</v>
      </c>
      <c r="AW111">
        <v>7.36</v>
      </c>
      <c r="AX111">
        <v>8.15</v>
      </c>
      <c r="AY111">
        <v>8.32</v>
      </c>
      <c r="AZ111">
        <v>3.09</v>
      </c>
      <c r="BA111">
        <v>7.61</v>
      </c>
      <c r="BB111">
        <v>7.2</v>
      </c>
      <c r="BC111">
        <v>7.14</v>
      </c>
      <c r="BD111">
        <v>7.56</v>
      </c>
      <c r="BE111">
        <v>5.41</v>
      </c>
      <c r="BF111">
        <v>7.23</v>
      </c>
      <c r="BG111">
        <v>0.746</v>
      </c>
      <c r="BH111">
        <v>0.13159999999999999</v>
      </c>
      <c r="BI111">
        <v>6.08E-2</v>
      </c>
      <c r="BJ111">
        <v>3.9899999999999998E-2</v>
      </c>
      <c r="BK111">
        <v>0.23050000000000001</v>
      </c>
      <c r="BL111">
        <v>0.53010000000000002</v>
      </c>
      <c r="BM111">
        <v>1.7000000000000001E-2</v>
      </c>
      <c r="BN111">
        <v>2.7099999999999999E-2</v>
      </c>
      <c r="BO111">
        <v>-1.26</v>
      </c>
      <c r="BP111">
        <v>0.79</v>
      </c>
      <c r="BQ111">
        <v>0.95</v>
      </c>
      <c r="BR111">
        <v>-4.2699999999999996</v>
      </c>
      <c r="BS111">
        <v>11500000</v>
      </c>
      <c r="BT111">
        <v>113445.34</v>
      </c>
      <c r="BU111">
        <v>14.11</v>
      </c>
      <c r="BV111">
        <v>357529.84</v>
      </c>
      <c r="BW111">
        <v>12.81</v>
      </c>
      <c r="BZ111" s="5">
        <v>64322.12</v>
      </c>
      <c r="CA111" s="5">
        <v>12.34</v>
      </c>
      <c r="CB111" s="5">
        <v>29266.39</v>
      </c>
      <c r="CC111" s="5">
        <v>6.07</v>
      </c>
    </row>
    <row r="112" spans="1:81" x14ac:dyDescent="0.2">
      <c r="A112" s="2">
        <v>41699</v>
      </c>
      <c r="B112">
        <v>2014</v>
      </c>
      <c r="C112">
        <v>3</v>
      </c>
      <c r="E112">
        <v>7.375</v>
      </c>
      <c r="F112">
        <v>16.75</v>
      </c>
      <c r="G112">
        <v>17.25</v>
      </c>
      <c r="J112">
        <v>6.0617000000000001</v>
      </c>
      <c r="K112">
        <v>1.1107</v>
      </c>
      <c r="L112">
        <v>1.3828</v>
      </c>
      <c r="M112">
        <v>102.3395</v>
      </c>
      <c r="N112">
        <v>6.1729000000000003</v>
      </c>
      <c r="O112">
        <v>1.2449806430000001</v>
      </c>
      <c r="P112">
        <v>92.139641670000003</v>
      </c>
      <c r="Q112">
        <v>5.5576663369999997</v>
      </c>
      <c r="R112">
        <v>801628</v>
      </c>
      <c r="S112">
        <v>4859209</v>
      </c>
      <c r="T112">
        <v>574.21</v>
      </c>
      <c r="U112">
        <v>210.6</v>
      </c>
      <c r="W112">
        <v>6062500</v>
      </c>
      <c r="X112">
        <v>26250000</v>
      </c>
      <c r="Y112">
        <v>1841.9</v>
      </c>
      <c r="Z112">
        <v>487.36</v>
      </c>
      <c r="AA112">
        <v>184.59</v>
      </c>
      <c r="AB112">
        <v>113.38</v>
      </c>
      <c r="AC112">
        <v>93.76</v>
      </c>
      <c r="AD112">
        <v>2720.99</v>
      </c>
      <c r="AE112">
        <v>29627098</v>
      </c>
      <c r="AF112">
        <v>8485904</v>
      </c>
      <c r="AG112">
        <v>3328744</v>
      </c>
      <c r="AH112">
        <v>1422650</v>
      </c>
      <c r="AI112">
        <v>2561697</v>
      </c>
      <c r="AJ112">
        <v>45426093</v>
      </c>
      <c r="AK112">
        <v>191</v>
      </c>
      <c r="AL112">
        <v>567</v>
      </c>
      <c r="AM112">
        <v>17</v>
      </c>
      <c r="AN112">
        <v>17</v>
      </c>
      <c r="AO112">
        <v>236</v>
      </c>
      <c r="AP112">
        <v>1028</v>
      </c>
      <c r="AQ112">
        <v>3024967</v>
      </c>
      <c r="AR112">
        <v>8811802</v>
      </c>
      <c r="AS112">
        <v>284823</v>
      </c>
      <c r="AT112">
        <v>223320</v>
      </c>
      <c r="AU112">
        <v>3905368</v>
      </c>
      <c r="AV112">
        <v>16250280</v>
      </c>
      <c r="AW112">
        <v>7.3</v>
      </c>
      <c r="AX112">
        <v>7.9</v>
      </c>
      <c r="AY112">
        <v>8.18</v>
      </c>
      <c r="AZ112">
        <v>5.69</v>
      </c>
      <c r="BA112">
        <v>7.57</v>
      </c>
      <c r="BB112">
        <v>7.18</v>
      </c>
      <c r="BC112">
        <v>7.05</v>
      </c>
      <c r="BD112">
        <v>7.6</v>
      </c>
      <c r="BE112">
        <v>5.96</v>
      </c>
      <c r="BF112">
        <v>7.17</v>
      </c>
      <c r="BG112">
        <v>0.67689999999999995</v>
      </c>
      <c r="BH112">
        <v>0.17910000000000001</v>
      </c>
      <c r="BI112">
        <v>6.7799999999999999E-2</v>
      </c>
      <c r="BJ112">
        <v>4.1700000000000001E-2</v>
      </c>
      <c r="BK112">
        <v>0.18579999999999999</v>
      </c>
      <c r="BL112">
        <v>0.55159999999999998</v>
      </c>
      <c r="BM112">
        <v>1.6500000000000001E-2</v>
      </c>
      <c r="BN112">
        <v>1.6500000000000001E-2</v>
      </c>
      <c r="BO112">
        <v>-0.61</v>
      </c>
      <c r="BP112">
        <v>0.6</v>
      </c>
      <c r="BQ112">
        <v>0.88</v>
      </c>
      <c r="BR112">
        <v>-1.6</v>
      </c>
      <c r="BS112">
        <v>6062500</v>
      </c>
      <c r="BT112">
        <v>137832.84</v>
      </c>
      <c r="BU112">
        <v>13.63</v>
      </c>
      <c r="BV112">
        <v>352785.5</v>
      </c>
      <c r="BW112">
        <v>12.92</v>
      </c>
      <c r="BX112">
        <v>25150.304960000001</v>
      </c>
      <c r="BY112">
        <v>9.4808790740000006</v>
      </c>
      <c r="BZ112" s="5">
        <v>120066.05</v>
      </c>
      <c r="CA112" s="5">
        <v>8.34</v>
      </c>
      <c r="CB112" s="5">
        <v>33073.78</v>
      </c>
      <c r="CC112" s="5">
        <v>4.93</v>
      </c>
    </row>
    <row r="113" spans="1:81" x14ac:dyDescent="0.2">
      <c r="A113" s="2">
        <v>41730</v>
      </c>
      <c r="B113">
        <v>2014</v>
      </c>
      <c r="C113">
        <v>4</v>
      </c>
      <c r="E113">
        <v>8.4</v>
      </c>
      <c r="F113">
        <v>16.75</v>
      </c>
      <c r="G113">
        <v>17.25</v>
      </c>
      <c r="J113">
        <v>6.6923000000000004</v>
      </c>
      <c r="K113">
        <v>1.0992</v>
      </c>
      <c r="L113">
        <v>1.381</v>
      </c>
      <c r="M113">
        <v>102.45820000000001</v>
      </c>
      <c r="N113">
        <v>6.2245999999999997</v>
      </c>
      <c r="O113">
        <v>1.2563682679999999</v>
      </c>
      <c r="P113">
        <v>93.211608440000006</v>
      </c>
      <c r="Q113">
        <v>5.6628457059999997</v>
      </c>
      <c r="R113">
        <v>1288690</v>
      </c>
      <c r="S113">
        <v>8624292</v>
      </c>
      <c r="T113">
        <v>1816.63</v>
      </c>
      <c r="U113">
        <v>1232.0899999999999</v>
      </c>
      <c r="W113">
        <v>2593750</v>
      </c>
      <c r="X113">
        <v>26250000</v>
      </c>
      <c r="Y113">
        <v>2041.25</v>
      </c>
      <c r="Z113">
        <v>421.24</v>
      </c>
      <c r="AA113">
        <v>171.57</v>
      </c>
      <c r="AB113">
        <v>102.03</v>
      </c>
      <c r="AC113">
        <v>94.65</v>
      </c>
      <c r="AD113">
        <v>2830.74</v>
      </c>
      <c r="AE113">
        <v>34163992</v>
      </c>
      <c r="AF113">
        <v>7535961</v>
      </c>
      <c r="AG113">
        <v>3169481</v>
      </c>
      <c r="AH113">
        <v>1482743</v>
      </c>
      <c r="AI113">
        <v>2339877</v>
      </c>
      <c r="AJ113">
        <v>48692054</v>
      </c>
      <c r="AK113">
        <v>227</v>
      </c>
      <c r="AL113">
        <v>567</v>
      </c>
      <c r="AM113">
        <v>21</v>
      </c>
      <c r="AN113">
        <v>8</v>
      </c>
      <c r="AO113">
        <v>201</v>
      </c>
      <c r="AP113">
        <v>1024</v>
      </c>
      <c r="AQ113">
        <v>3596848</v>
      </c>
      <c r="AR113">
        <v>9311894</v>
      </c>
      <c r="AS113">
        <v>368597</v>
      </c>
      <c r="AT113">
        <v>122397</v>
      </c>
      <c r="AU113">
        <v>3316802</v>
      </c>
      <c r="AV113">
        <v>16716538</v>
      </c>
      <c r="AW113">
        <v>7.59</v>
      </c>
      <c r="AX113">
        <v>8.11</v>
      </c>
      <c r="AY113">
        <v>8.3800000000000008</v>
      </c>
      <c r="AZ113">
        <v>6.59</v>
      </c>
      <c r="BA113">
        <v>7.8</v>
      </c>
      <c r="BB113">
        <v>7.19</v>
      </c>
      <c r="BC113">
        <v>7.45</v>
      </c>
      <c r="BD113">
        <v>7.96</v>
      </c>
      <c r="BE113">
        <v>6.94</v>
      </c>
      <c r="BF113">
        <v>7.4</v>
      </c>
      <c r="BG113">
        <v>0.72109999999999996</v>
      </c>
      <c r="BH113">
        <v>0.14879999999999999</v>
      </c>
      <c r="BI113">
        <v>6.0600000000000001E-2</v>
      </c>
      <c r="BJ113">
        <v>3.5999999999999997E-2</v>
      </c>
      <c r="BK113">
        <v>0.22170000000000001</v>
      </c>
      <c r="BL113">
        <v>0.55369999999999997</v>
      </c>
      <c r="BM113">
        <v>2.0500000000000001E-2</v>
      </c>
      <c r="BN113">
        <v>7.7999999999999996E-3</v>
      </c>
      <c r="BO113">
        <v>0.03</v>
      </c>
      <c r="BP113">
        <v>0.52</v>
      </c>
      <c r="BQ113">
        <v>0.79</v>
      </c>
      <c r="BR113">
        <v>-1</v>
      </c>
      <c r="BS113">
        <v>2593750</v>
      </c>
      <c r="BT113">
        <v>104062.47</v>
      </c>
      <c r="BU113">
        <v>13.19</v>
      </c>
      <c r="BV113">
        <v>4223031.18</v>
      </c>
      <c r="BW113">
        <v>10.95</v>
      </c>
      <c r="BX113">
        <v>39220.1898</v>
      </c>
      <c r="BY113">
        <v>2.2906314440000002</v>
      </c>
      <c r="BZ113" s="5">
        <v>43005.61</v>
      </c>
      <c r="CA113" s="5">
        <v>3.99</v>
      </c>
      <c r="CB113" s="5">
        <v>47855.78</v>
      </c>
      <c r="CC113" s="5">
        <v>5.84</v>
      </c>
    </row>
    <row r="114" spans="1:81" x14ac:dyDescent="0.2">
      <c r="A114" s="2">
        <v>41760</v>
      </c>
      <c r="B114">
        <v>2014</v>
      </c>
      <c r="C114">
        <v>5</v>
      </c>
      <c r="E114">
        <v>5.6890000000000001</v>
      </c>
      <c r="F114">
        <v>15.5</v>
      </c>
      <c r="G114">
        <v>17.25</v>
      </c>
      <c r="J114">
        <v>4.5174000000000003</v>
      </c>
      <c r="K114">
        <v>1.0893999999999999</v>
      </c>
      <c r="L114">
        <v>1.3738999999999999</v>
      </c>
      <c r="M114">
        <v>101.77379999999999</v>
      </c>
      <c r="N114">
        <v>6.2380000000000004</v>
      </c>
      <c r="O114">
        <v>1.261152928</v>
      </c>
      <c r="P114">
        <v>93.421883609999995</v>
      </c>
      <c r="Q114">
        <v>5.726087755</v>
      </c>
      <c r="R114">
        <v>3181174</v>
      </c>
      <c r="S114">
        <v>14370727</v>
      </c>
      <c r="T114">
        <v>29558.91</v>
      </c>
      <c r="U114">
        <v>28115.95</v>
      </c>
      <c r="W114">
        <v>4516667.5</v>
      </c>
      <c r="X114">
        <v>26250000</v>
      </c>
      <c r="Y114">
        <v>3998.26</v>
      </c>
      <c r="Z114">
        <v>617.97</v>
      </c>
      <c r="AA114">
        <v>289.76</v>
      </c>
      <c r="AB114">
        <v>165.97</v>
      </c>
      <c r="AC114">
        <v>76.790000000000006</v>
      </c>
      <c r="AD114">
        <v>5148.75</v>
      </c>
      <c r="AE114">
        <v>53559762</v>
      </c>
      <c r="AF114">
        <v>10240413</v>
      </c>
      <c r="AG114">
        <v>4606807</v>
      </c>
      <c r="AH114">
        <v>1035376</v>
      </c>
      <c r="AI114">
        <v>3232535</v>
      </c>
      <c r="AJ114">
        <v>72674893</v>
      </c>
      <c r="AK114">
        <v>270</v>
      </c>
      <c r="AL114">
        <v>733</v>
      </c>
      <c r="AM114">
        <v>19</v>
      </c>
      <c r="AN114">
        <v>121</v>
      </c>
      <c r="AO114">
        <v>309</v>
      </c>
      <c r="AP114">
        <v>1452</v>
      </c>
      <c r="AQ114">
        <v>3953521</v>
      </c>
      <c r="AR114">
        <v>11162712</v>
      </c>
      <c r="AS114">
        <v>284395</v>
      </c>
      <c r="AT114">
        <v>2537339</v>
      </c>
      <c r="AU114">
        <v>4839845</v>
      </c>
      <c r="AV114">
        <v>22777812</v>
      </c>
      <c r="AW114">
        <v>6.08</v>
      </c>
      <c r="AX114">
        <v>7.52</v>
      </c>
      <c r="AY114">
        <v>7.21</v>
      </c>
      <c r="AZ114">
        <v>2.83</v>
      </c>
      <c r="BA114">
        <v>6.4</v>
      </c>
      <c r="BB114">
        <v>6.64</v>
      </c>
      <c r="BC114">
        <v>6.91</v>
      </c>
      <c r="BD114">
        <v>6.79</v>
      </c>
      <c r="BE114">
        <v>9.51</v>
      </c>
      <c r="BF114">
        <v>7.12</v>
      </c>
      <c r="BG114">
        <v>0.77649999999999997</v>
      </c>
      <c r="BH114">
        <v>0.12</v>
      </c>
      <c r="BI114">
        <v>5.6300000000000003E-2</v>
      </c>
      <c r="BJ114">
        <v>3.2199999999999999E-2</v>
      </c>
      <c r="BK114">
        <v>0.186</v>
      </c>
      <c r="BL114">
        <v>0.50480000000000003</v>
      </c>
      <c r="BM114">
        <v>1.3100000000000001E-2</v>
      </c>
      <c r="BN114">
        <v>8.3299999999999999E-2</v>
      </c>
      <c r="BO114">
        <v>3.93</v>
      </c>
      <c r="BP114">
        <v>1.44</v>
      </c>
      <c r="BQ114">
        <v>1.1399999999999999</v>
      </c>
      <c r="BR114">
        <v>-3.25</v>
      </c>
      <c r="BS114">
        <v>4516667.5</v>
      </c>
      <c r="BT114">
        <v>1017125.69</v>
      </c>
      <c r="BU114">
        <v>11.05</v>
      </c>
      <c r="BV114">
        <v>171054.26</v>
      </c>
      <c r="BW114">
        <v>11.37</v>
      </c>
      <c r="BX114">
        <v>2755.7750000000001</v>
      </c>
      <c r="BY114">
        <v>12.99960991</v>
      </c>
      <c r="BZ114" s="5">
        <v>127473.59</v>
      </c>
      <c r="CA114" s="5">
        <v>6.98</v>
      </c>
      <c r="CB114" s="5">
        <v>22059.47</v>
      </c>
      <c r="CC114" s="5">
        <v>6.98</v>
      </c>
    </row>
    <row r="115" spans="1:81" x14ac:dyDescent="0.2">
      <c r="A115" s="2">
        <v>41791</v>
      </c>
      <c r="B115">
        <v>2014</v>
      </c>
      <c r="C115">
        <v>6</v>
      </c>
      <c r="E115">
        <v>4.9379999999999997</v>
      </c>
      <c r="F115">
        <v>15.5</v>
      </c>
      <c r="G115">
        <v>17.25</v>
      </c>
      <c r="J115">
        <v>4.0118999999999998</v>
      </c>
      <c r="K115">
        <v>1.083</v>
      </c>
      <c r="L115">
        <v>1.3594999999999999</v>
      </c>
      <c r="M115">
        <v>102.0629</v>
      </c>
      <c r="N115">
        <v>6.2305999999999999</v>
      </c>
      <c r="O115">
        <v>1.2553093259999999</v>
      </c>
      <c r="P115">
        <v>94.240904889999996</v>
      </c>
      <c r="Q115">
        <v>5.7530932589999999</v>
      </c>
      <c r="R115">
        <v>3490772</v>
      </c>
      <c r="S115">
        <v>14004655</v>
      </c>
      <c r="T115">
        <v>19088.14</v>
      </c>
      <c r="U115">
        <v>17504.75</v>
      </c>
      <c r="W115">
        <v>19718750</v>
      </c>
      <c r="X115">
        <v>26250000</v>
      </c>
      <c r="Y115">
        <v>5103.1099999999997</v>
      </c>
      <c r="Z115">
        <v>502.23</v>
      </c>
      <c r="AA115">
        <v>252.75</v>
      </c>
      <c r="AB115">
        <v>156.68</v>
      </c>
      <c r="AC115">
        <v>125.09</v>
      </c>
      <c r="AD115">
        <v>6139.86</v>
      </c>
      <c r="AE115">
        <v>58136174</v>
      </c>
      <c r="AF115">
        <v>8384380</v>
      </c>
      <c r="AG115">
        <v>3757563</v>
      </c>
      <c r="AH115">
        <v>1425630</v>
      </c>
      <c r="AI115">
        <v>3389783</v>
      </c>
      <c r="AJ115">
        <v>75093530</v>
      </c>
      <c r="AK115">
        <v>227</v>
      </c>
      <c r="AL115">
        <v>914</v>
      </c>
      <c r="AM115">
        <v>18</v>
      </c>
      <c r="AN115">
        <v>222</v>
      </c>
      <c r="AO115">
        <v>296</v>
      </c>
      <c r="AP115">
        <v>1677</v>
      </c>
      <c r="AQ115">
        <v>3263095</v>
      </c>
      <c r="AR115">
        <v>12813338</v>
      </c>
      <c r="AS115">
        <v>258806</v>
      </c>
      <c r="AT115">
        <v>4651958</v>
      </c>
      <c r="AU115">
        <v>4365336</v>
      </c>
      <c r="AV115">
        <v>25352533</v>
      </c>
      <c r="AW115">
        <v>5.17</v>
      </c>
      <c r="AX115">
        <v>7.57</v>
      </c>
      <c r="AY115">
        <v>6.74</v>
      </c>
      <c r="AZ115">
        <v>4.13</v>
      </c>
      <c r="BA115">
        <v>5.55</v>
      </c>
      <c r="BB115">
        <v>6.52</v>
      </c>
      <c r="BC115">
        <v>6.36</v>
      </c>
      <c r="BD115">
        <v>6.52</v>
      </c>
      <c r="BE115">
        <v>9.5</v>
      </c>
      <c r="BF115">
        <v>6.86</v>
      </c>
      <c r="BG115">
        <v>0.83109999999999995</v>
      </c>
      <c r="BH115">
        <v>8.1799999999999998E-2</v>
      </c>
      <c r="BI115">
        <v>4.1200000000000001E-2</v>
      </c>
      <c r="BJ115">
        <v>2.5499999999999998E-2</v>
      </c>
      <c r="BK115">
        <v>0.13539999999999999</v>
      </c>
      <c r="BL115">
        <v>0.54500000000000004</v>
      </c>
      <c r="BM115">
        <v>1.0699999999999999E-2</v>
      </c>
      <c r="BN115">
        <v>0.13239999999999999</v>
      </c>
      <c r="BO115">
        <v>4.7300000000000004</v>
      </c>
      <c r="BP115">
        <v>2.4</v>
      </c>
      <c r="BQ115">
        <v>1.58</v>
      </c>
      <c r="BR115">
        <v>-1.04</v>
      </c>
      <c r="BS115">
        <v>19718750</v>
      </c>
      <c r="BT115">
        <v>3369184.06</v>
      </c>
      <c r="BU115">
        <v>11.93</v>
      </c>
      <c r="BV115">
        <v>178186.21</v>
      </c>
      <c r="BW115">
        <v>12.97</v>
      </c>
      <c r="BX115">
        <v>44434.116099999999</v>
      </c>
      <c r="BY115">
        <v>3.140402291</v>
      </c>
      <c r="BZ115" s="5">
        <v>750403.45</v>
      </c>
      <c r="CA115" s="5">
        <v>5.16</v>
      </c>
      <c r="CB115" s="5">
        <v>576474.01</v>
      </c>
      <c r="CC115" s="5">
        <v>5.95</v>
      </c>
    </row>
    <row r="116" spans="1:81" x14ac:dyDescent="0.2">
      <c r="A116" s="2">
        <v>41821</v>
      </c>
      <c r="B116">
        <v>2014</v>
      </c>
      <c r="C116">
        <v>7</v>
      </c>
      <c r="E116">
        <v>6.6050000000000004</v>
      </c>
      <c r="F116">
        <v>15.43</v>
      </c>
      <c r="G116">
        <v>17.25</v>
      </c>
      <c r="J116">
        <v>3.544</v>
      </c>
      <c r="K116">
        <v>1.0739000000000001</v>
      </c>
      <c r="L116">
        <v>1.3532999999999999</v>
      </c>
      <c r="M116">
        <v>101.74</v>
      </c>
      <c r="N116">
        <v>6.1984000000000004</v>
      </c>
      <c r="O116">
        <v>1.2601732000000001</v>
      </c>
      <c r="P116">
        <v>94.738802500000006</v>
      </c>
      <c r="Q116">
        <v>5.7718595769999999</v>
      </c>
      <c r="R116">
        <v>12608254</v>
      </c>
      <c r="S116">
        <v>44683945</v>
      </c>
      <c r="T116">
        <v>7657.41</v>
      </c>
      <c r="U116">
        <v>1938.4</v>
      </c>
      <c r="W116">
        <v>23750000</v>
      </c>
      <c r="X116">
        <v>26250000</v>
      </c>
      <c r="Y116">
        <v>3009.51</v>
      </c>
      <c r="Z116">
        <v>523.13</v>
      </c>
      <c r="AA116">
        <v>192.36</v>
      </c>
      <c r="AB116">
        <v>147.19999999999999</v>
      </c>
      <c r="AC116">
        <v>94.25</v>
      </c>
      <c r="AD116">
        <v>3966.45</v>
      </c>
      <c r="AE116">
        <v>40448151</v>
      </c>
      <c r="AF116">
        <v>9086954</v>
      </c>
      <c r="AG116">
        <v>3214183</v>
      </c>
      <c r="AH116">
        <v>1141123</v>
      </c>
      <c r="AI116">
        <v>3261881</v>
      </c>
      <c r="AJ116">
        <v>57152292</v>
      </c>
      <c r="AK116">
        <v>262</v>
      </c>
      <c r="AL116">
        <v>804</v>
      </c>
      <c r="AM116">
        <v>18</v>
      </c>
      <c r="AN116">
        <v>1604</v>
      </c>
      <c r="AO116">
        <v>269</v>
      </c>
      <c r="AP116">
        <v>2957</v>
      </c>
      <c r="AQ116">
        <v>4035426</v>
      </c>
      <c r="AR116">
        <v>11511236</v>
      </c>
      <c r="AS116">
        <v>275892</v>
      </c>
      <c r="AT116">
        <v>15345302</v>
      </c>
      <c r="AU116">
        <v>4190098</v>
      </c>
      <c r="AV116">
        <v>35357954</v>
      </c>
      <c r="AW116">
        <v>6.1</v>
      </c>
      <c r="AX116">
        <v>7.88</v>
      </c>
      <c r="AY116">
        <v>7.58</v>
      </c>
      <c r="AZ116">
        <v>3.52</v>
      </c>
      <c r="BA116">
        <v>6.54</v>
      </c>
      <c r="BB116">
        <v>6.99</v>
      </c>
      <c r="BC116">
        <v>6.49</v>
      </c>
      <c r="BD116">
        <v>6.95</v>
      </c>
      <c r="BE116">
        <v>4.34</v>
      </c>
      <c r="BF116">
        <v>5.42</v>
      </c>
      <c r="BG116">
        <v>0.75870000000000004</v>
      </c>
      <c r="BH116">
        <v>0.13189999999999999</v>
      </c>
      <c r="BI116">
        <v>4.8500000000000001E-2</v>
      </c>
      <c r="BJ116">
        <v>3.7100000000000001E-2</v>
      </c>
      <c r="BK116">
        <v>8.8599999999999998E-2</v>
      </c>
      <c r="BL116">
        <v>0.27189999999999998</v>
      </c>
      <c r="BM116">
        <v>6.1000000000000004E-3</v>
      </c>
      <c r="BN116">
        <v>0.54239999999999999</v>
      </c>
      <c r="BO116">
        <v>-1.34</v>
      </c>
      <c r="BP116">
        <v>1.78</v>
      </c>
      <c r="BQ116">
        <v>1.48</v>
      </c>
      <c r="BR116">
        <v>-2.58</v>
      </c>
      <c r="BS116">
        <v>23750000</v>
      </c>
      <c r="BT116">
        <v>2186949.9700000002</v>
      </c>
      <c r="BU116">
        <v>12.04</v>
      </c>
      <c r="BV116">
        <v>3493171.89</v>
      </c>
      <c r="BW116">
        <v>12.08</v>
      </c>
      <c r="BX116">
        <v>515947.21860000002</v>
      </c>
      <c r="BY116">
        <v>5.0846945300000002</v>
      </c>
      <c r="BZ116" s="5">
        <v>837080.46</v>
      </c>
      <c r="CA116" s="5">
        <v>5.08</v>
      </c>
      <c r="CB116" s="5">
        <v>710111.73</v>
      </c>
      <c r="CC116" s="5">
        <v>6.52</v>
      </c>
    </row>
    <row r="117" spans="1:81" x14ac:dyDescent="0.2">
      <c r="A117" s="2">
        <v>41852</v>
      </c>
      <c r="B117">
        <v>2014</v>
      </c>
      <c r="C117">
        <v>8</v>
      </c>
      <c r="E117">
        <v>4.8440000000000003</v>
      </c>
      <c r="F117">
        <v>15.38</v>
      </c>
      <c r="G117">
        <v>17.25</v>
      </c>
      <c r="J117">
        <v>3.2090999999999998</v>
      </c>
      <c r="K117">
        <v>1.0926</v>
      </c>
      <c r="L117">
        <v>1.3314999999999999</v>
      </c>
      <c r="M117">
        <v>102.9438</v>
      </c>
      <c r="N117">
        <v>6.1540999999999997</v>
      </c>
      <c r="O117">
        <v>1.2186527549999999</v>
      </c>
      <c r="P117">
        <v>94.219110380000004</v>
      </c>
      <c r="Q117">
        <v>5.6325279149999998</v>
      </c>
      <c r="R117">
        <v>29441629</v>
      </c>
      <c r="S117">
        <v>94482012</v>
      </c>
      <c r="T117">
        <v>13946.11</v>
      </c>
      <c r="U117">
        <v>591.6</v>
      </c>
      <c r="W117">
        <v>14667808.5</v>
      </c>
      <c r="X117">
        <v>26250000</v>
      </c>
      <c r="Y117">
        <v>1341.13</v>
      </c>
      <c r="Z117">
        <v>497.53</v>
      </c>
      <c r="AA117">
        <v>189.85</v>
      </c>
      <c r="AB117">
        <v>146.55000000000001</v>
      </c>
      <c r="AC117">
        <v>82.43</v>
      </c>
      <c r="AD117">
        <v>2257.4899999999998</v>
      </c>
      <c r="AE117">
        <v>20558630</v>
      </c>
      <c r="AF117">
        <v>9197606</v>
      </c>
      <c r="AG117">
        <v>3293731</v>
      </c>
      <c r="AH117">
        <v>1046013</v>
      </c>
      <c r="AI117">
        <v>3167781</v>
      </c>
      <c r="AJ117">
        <v>37263761</v>
      </c>
      <c r="AK117">
        <v>332</v>
      </c>
      <c r="AL117">
        <v>835</v>
      </c>
      <c r="AM117">
        <v>21</v>
      </c>
      <c r="AN117">
        <v>7421</v>
      </c>
      <c r="AO117">
        <v>308</v>
      </c>
      <c r="AP117">
        <v>8917</v>
      </c>
      <c r="AQ117">
        <v>5276338</v>
      </c>
      <c r="AR117">
        <v>11691836</v>
      </c>
      <c r="AS117">
        <v>341094</v>
      </c>
      <c r="AT117">
        <v>66953512</v>
      </c>
      <c r="AU117">
        <v>4860007</v>
      </c>
      <c r="AV117">
        <v>89122787</v>
      </c>
      <c r="AW117">
        <v>6.95</v>
      </c>
      <c r="AX117">
        <v>8.39</v>
      </c>
      <c r="AY117">
        <v>7.87</v>
      </c>
      <c r="AZ117">
        <v>3.24</v>
      </c>
      <c r="BA117">
        <v>7.49</v>
      </c>
      <c r="BB117">
        <v>7.21</v>
      </c>
      <c r="BC117">
        <v>6.35</v>
      </c>
      <c r="BD117">
        <v>7.37</v>
      </c>
      <c r="BE117">
        <v>4.09</v>
      </c>
      <c r="BF117">
        <v>4.53</v>
      </c>
      <c r="BG117">
        <v>0.59409999999999996</v>
      </c>
      <c r="BH117">
        <v>0.22040000000000001</v>
      </c>
      <c r="BI117">
        <v>8.4099999999999994E-2</v>
      </c>
      <c r="BJ117">
        <v>6.4899999999999999E-2</v>
      </c>
      <c r="BK117">
        <v>3.7199999999999997E-2</v>
      </c>
      <c r="BL117">
        <v>9.3600000000000003E-2</v>
      </c>
      <c r="BM117">
        <v>2.3999999999999998E-3</v>
      </c>
      <c r="BN117">
        <v>0.83220000000000005</v>
      </c>
      <c r="BO117">
        <v>-2.27</v>
      </c>
      <c r="BP117">
        <v>1.44</v>
      </c>
      <c r="BQ117">
        <v>0.92</v>
      </c>
      <c r="BR117">
        <v>-3.72</v>
      </c>
      <c r="BS117">
        <v>14667808.5</v>
      </c>
      <c r="BT117">
        <v>1698154.85</v>
      </c>
      <c r="BU117">
        <v>12.22</v>
      </c>
      <c r="BV117">
        <v>75550.12</v>
      </c>
      <c r="BW117">
        <v>9.18</v>
      </c>
      <c r="BX117">
        <v>426825.45510000002</v>
      </c>
      <c r="BY117">
        <v>4.636670509</v>
      </c>
      <c r="BZ117" s="5">
        <v>1118428.01</v>
      </c>
      <c r="CA117" s="5">
        <v>4.12</v>
      </c>
      <c r="CB117" s="5">
        <v>365495.86</v>
      </c>
      <c r="CC117" s="5">
        <v>6.45</v>
      </c>
    </row>
    <row r="118" spans="1:81" x14ac:dyDescent="0.2">
      <c r="A118" s="2">
        <v>41883</v>
      </c>
      <c r="B118">
        <v>2014</v>
      </c>
      <c r="C118">
        <v>9</v>
      </c>
      <c r="E118">
        <v>5.1609999999999996</v>
      </c>
      <c r="F118">
        <v>16.28</v>
      </c>
      <c r="G118">
        <v>17.579999999999998</v>
      </c>
      <c r="J118">
        <v>3.6598999999999999</v>
      </c>
      <c r="K118">
        <v>1.1011</v>
      </c>
      <c r="L118">
        <v>1.2888999999999999</v>
      </c>
      <c r="M118">
        <v>107.42570000000001</v>
      </c>
      <c r="N118">
        <v>6.1382000000000003</v>
      </c>
      <c r="O118">
        <v>1.1705567160000001</v>
      </c>
      <c r="P118">
        <v>97.562165109999995</v>
      </c>
      <c r="Q118">
        <v>5.574607211</v>
      </c>
      <c r="R118">
        <v>26514184</v>
      </c>
      <c r="S118">
        <v>97038623</v>
      </c>
      <c r="T118">
        <v>12618.25</v>
      </c>
      <c r="U118">
        <v>591.6</v>
      </c>
      <c r="W118">
        <v>7917186.7999999998</v>
      </c>
      <c r="X118">
        <v>26250000</v>
      </c>
      <c r="Y118">
        <v>483.33</v>
      </c>
      <c r="Z118">
        <v>407.42</v>
      </c>
      <c r="AA118">
        <v>164.68</v>
      </c>
      <c r="AB118">
        <v>133.65</v>
      </c>
      <c r="AC118">
        <v>110.79</v>
      </c>
      <c r="AD118">
        <v>1299.8699999999999</v>
      </c>
      <c r="AE118">
        <v>8095603</v>
      </c>
      <c r="AF118">
        <v>7737371</v>
      </c>
      <c r="AG118">
        <v>3196403</v>
      </c>
      <c r="AH118">
        <v>1736094</v>
      </c>
      <c r="AI118">
        <v>3024160</v>
      </c>
      <c r="AJ118">
        <v>23789631</v>
      </c>
      <c r="AK118">
        <v>454</v>
      </c>
      <c r="AL118">
        <v>832</v>
      </c>
      <c r="AM118">
        <v>25</v>
      </c>
      <c r="AN118">
        <v>7859</v>
      </c>
      <c r="AO118">
        <v>244</v>
      </c>
      <c r="AP118">
        <v>9414</v>
      </c>
      <c r="AQ118">
        <v>6976449</v>
      </c>
      <c r="AR118">
        <v>11762341</v>
      </c>
      <c r="AS118">
        <v>370666</v>
      </c>
      <c r="AT118">
        <v>76395788</v>
      </c>
      <c r="AU118">
        <v>3880651</v>
      </c>
      <c r="AV118">
        <v>99385895</v>
      </c>
      <c r="AW118">
        <v>7.6</v>
      </c>
      <c r="AX118">
        <v>8.61</v>
      </c>
      <c r="AY118">
        <v>8.8000000000000007</v>
      </c>
      <c r="AZ118">
        <v>5.89</v>
      </c>
      <c r="BA118">
        <v>8.3000000000000007</v>
      </c>
      <c r="BB118">
        <v>6.97</v>
      </c>
      <c r="BC118">
        <v>6.41</v>
      </c>
      <c r="BD118">
        <v>6.73</v>
      </c>
      <c r="BE118">
        <v>4.41</v>
      </c>
      <c r="BF118">
        <v>4.79</v>
      </c>
      <c r="BG118">
        <v>0.37180000000000002</v>
      </c>
      <c r="BH118">
        <v>0.31340000000000001</v>
      </c>
      <c r="BI118">
        <v>0.12670000000000001</v>
      </c>
      <c r="BJ118">
        <v>0.1028</v>
      </c>
      <c r="BK118">
        <v>4.82E-2</v>
      </c>
      <c r="BL118">
        <v>8.8400000000000006E-2</v>
      </c>
      <c r="BM118">
        <v>2.7000000000000001E-3</v>
      </c>
      <c r="BN118">
        <v>0.83479999999999999</v>
      </c>
      <c r="BO118">
        <v>-2.4900000000000002</v>
      </c>
      <c r="BP118">
        <v>1.01</v>
      </c>
      <c r="BQ118">
        <v>1.21</v>
      </c>
      <c r="BR118">
        <v>-1.71</v>
      </c>
      <c r="BS118">
        <v>7917186.7999999998</v>
      </c>
      <c r="BT118">
        <v>2399548.09</v>
      </c>
      <c r="BU118">
        <v>12.61</v>
      </c>
      <c r="BV118">
        <v>2300468.06</v>
      </c>
      <c r="BW118">
        <v>13.06</v>
      </c>
      <c r="BX118">
        <v>254014.11180000001</v>
      </c>
      <c r="BY118">
        <v>4.0737657949999999</v>
      </c>
      <c r="BZ118" s="5">
        <v>666261.75</v>
      </c>
      <c r="CA118" s="5">
        <v>6.28</v>
      </c>
      <c r="CB118" s="5">
        <v>507101.1</v>
      </c>
      <c r="CC118" s="5">
        <v>6.6</v>
      </c>
    </row>
    <row r="119" spans="1:81" x14ac:dyDescent="0.2">
      <c r="A119" s="2">
        <v>41913</v>
      </c>
      <c r="B119">
        <v>2014</v>
      </c>
      <c r="C119">
        <v>10</v>
      </c>
      <c r="E119">
        <v>5.3559999999999999</v>
      </c>
      <c r="F119">
        <v>17.11</v>
      </c>
      <c r="G119">
        <v>18.170000000000002</v>
      </c>
      <c r="J119">
        <v>3.867</v>
      </c>
      <c r="K119">
        <v>1.1212</v>
      </c>
      <c r="L119">
        <v>1.2677</v>
      </c>
      <c r="M119">
        <v>108.0264</v>
      </c>
      <c r="N119">
        <v>6.1250999999999998</v>
      </c>
      <c r="O119">
        <v>1.130663575</v>
      </c>
      <c r="P119">
        <v>96.348911880000003</v>
      </c>
      <c r="Q119">
        <v>5.4629860859999999</v>
      </c>
      <c r="R119">
        <v>27197928</v>
      </c>
      <c r="S119">
        <v>105173309</v>
      </c>
      <c r="T119">
        <v>13770.79</v>
      </c>
      <c r="U119">
        <v>1434</v>
      </c>
      <c r="W119">
        <v>3400000</v>
      </c>
      <c r="X119">
        <v>26250000</v>
      </c>
      <c r="Y119">
        <v>504.79</v>
      </c>
      <c r="Z119">
        <v>230.67</v>
      </c>
      <c r="AA119">
        <v>146.65</v>
      </c>
      <c r="AB119">
        <v>120.96</v>
      </c>
      <c r="AC119">
        <v>85.03</v>
      </c>
      <c r="AD119">
        <v>1088.0999999999999</v>
      </c>
      <c r="AE119">
        <v>7563466</v>
      </c>
      <c r="AF119">
        <v>4505161</v>
      </c>
      <c r="AG119">
        <v>2739434</v>
      </c>
      <c r="AH119">
        <v>1377054</v>
      </c>
      <c r="AI119">
        <v>2674752</v>
      </c>
      <c r="AJ119">
        <v>18859867</v>
      </c>
      <c r="AK119">
        <v>490</v>
      </c>
      <c r="AL119">
        <v>713</v>
      </c>
      <c r="AM119">
        <v>41</v>
      </c>
      <c r="AN119">
        <v>8483</v>
      </c>
      <c r="AO119">
        <v>437</v>
      </c>
      <c r="AP119">
        <v>10164</v>
      </c>
      <c r="AQ119">
        <v>7584960</v>
      </c>
      <c r="AR119">
        <v>9948731</v>
      </c>
      <c r="AS119">
        <v>631622</v>
      </c>
      <c r="AT119">
        <v>88157147</v>
      </c>
      <c r="AU119">
        <v>7134383</v>
      </c>
      <c r="AV119">
        <v>113456843</v>
      </c>
      <c r="AW119">
        <v>6.8</v>
      </c>
      <c r="AX119">
        <v>8.86</v>
      </c>
      <c r="AY119">
        <v>8.4700000000000006</v>
      </c>
      <c r="AZ119">
        <v>5.16</v>
      </c>
      <c r="BA119">
        <v>7.86</v>
      </c>
      <c r="BB119">
        <v>7.02</v>
      </c>
      <c r="BC119">
        <v>6.33</v>
      </c>
      <c r="BD119">
        <v>6.99</v>
      </c>
      <c r="BE119">
        <v>4.71</v>
      </c>
      <c r="BF119">
        <v>5.0599999999999996</v>
      </c>
      <c r="BG119">
        <v>0.46389999999999998</v>
      </c>
      <c r="BH119">
        <v>0.21199999999999999</v>
      </c>
      <c r="BI119">
        <v>0.1348</v>
      </c>
      <c r="BJ119">
        <v>0.11119999999999999</v>
      </c>
      <c r="BK119">
        <v>4.82E-2</v>
      </c>
      <c r="BL119">
        <v>7.0099999999999996E-2</v>
      </c>
      <c r="BM119">
        <v>4.0000000000000001E-3</v>
      </c>
      <c r="BN119">
        <v>0.83460000000000001</v>
      </c>
      <c r="BO119">
        <v>-1.35</v>
      </c>
      <c r="BP119">
        <v>2.06</v>
      </c>
      <c r="BQ119">
        <v>1.68</v>
      </c>
      <c r="BR119">
        <v>-1.63</v>
      </c>
      <c r="BS119">
        <v>3400000</v>
      </c>
      <c r="BT119">
        <v>2578585.2799999998</v>
      </c>
      <c r="BU119">
        <v>12.25</v>
      </c>
      <c r="BV119">
        <v>3091631.22</v>
      </c>
      <c r="BW119">
        <v>12.82</v>
      </c>
      <c r="BX119">
        <v>159010.4221</v>
      </c>
      <c r="BY119">
        <v>4.8009746140000003</v>
      </c>
      <c r="BZ119" s="5">
        <v>981534.07</v>
      </c>
      <c r="CA119" s="5">
        <v>5.73</v>
      </c>
      <c r="CB119" s="5">
        <v>475422.85</v>
      </c>
      <c r="CC119" s="5">
        <v>6.64</v>
      </c>
    </row>
    <row r="120" spans="1:81" x14ac:dyDescent="0.2">
      <c r="A120" s="2">
        <v>41944</v>
      </c>
      <c r="B120">
        <v>2014</v>
      </c>
      <c r="C120">
        <v>11</v>
      </c>
      <c r="E120">
        <v>5.1689999999999996</v>
      </c>
      <c r="F120">
        <v>17.12</v>
      </c>
      <c r="G120">
        <v>18.47</v>
      </c>
      <c r="J120">
        <v>3.4710000000000001</v>
      </c>
      <c r="K120">
        <v>1.1325000000000001</v>
      </c>
      <c r="L120">
        <v>1.2473000000000001</v>
      </c>
      <c r="M120">
        <v>116.29940000000001</v>
      </c>
      <c r="N120">
        <v>6.1249000000000002</v>
      </c>
      <c r="O120">
        <v>1.101368653</v>
      </c>
      <c r="P120">
        <v>102.69262689999999</v>
      </c>
      <c r="Q120">
        <v>5.4083002210000002</v>
      </c>
      <c r="R120">
        <v>11915627</v>
      </c>
      <c r="S120">
        <v>41359388</v>
      </c>
      <c r="T120">
        <v>8948.14</v>
      </c>
      <c r="U120">
        <v>3543.3</v>
      </c>
      <c r="W120">
        <v>4843750</v>
      </c>
      <c r="X120">
        <v>26250000</v>
      </c>
      <c r="Y120">
        <v>1210.95</v>
      </c>
      <c r="Z120">
        <v>386.13</v>
      </c>
      <c r="AA120">
        <v>183.88</v>
      </c>
      <c r="AB120">
        <v>195.3</v>
      </c>
      <c r="AC120">
        <v>93.4</v>
      </c>
      <c r="AD120">
        <v>2069.66</v>
      </c>
      <c r="AE120">
        <v>16555676</v>
      </c>
      <c r="AF120">
        <v>7071521</v>
      </c>
      <c r="AG120">
        <v>3010041</v>
      </c>
      <c r="AH120">
        <v>1437036</v>
      </c>
      <c r="AI120">
        <v>4100738</v>
      </c>
      <c r="AJ120">
        <v>32175012</v>
      </c>
      <c r="AK120">
        <v>366</v>
      </c>
      <c r="AL120">
        <v>670</v>
      </c>
      <c r="AM120">
        <v>26</v>
      </c>
      <c r="AN120">
        <v>4042</v>
      </c>
      <c r="AO120">
        <v>439</v>
      </c>
      <c r="AP120">
        <v>5543</v>
      </c>
      <c r="AQ120">
        <v>5908058</v>
      </c>
      <c r="AR120">
        <v>9650140</v>
      </c>
      <c r="AS120">
        <v>385699</v>
      </c>
      <c r="AT120">
        <v>40700516</v>
      </c>
      <c r="AU120">
        <v>6950978</v>
      </c>
      <c r="AV120">
        <v>63595391</v>
      </c>
      <c r="AW120">
        <v>6.2</v>
      </c>
      <c r="AX120">
        <v>8.31</v>
      </c>
      <c r="AY120">
        <v>7.43</v>
      </c>
      <c r="AZ120">
        <v>3.34</v>
      </c>
      <c r="BA120">
        <v>7.05</v>
      </c>
      <c r="BB120">
        <v>7.32</v>
      </c>
      <c r="BC120">
        <v>6.53</v>
      </c>
      <c r="BD120">
        <v>6.73</v>
      </c>
      <c r="BE120">
        <v>4.57</v>
      </c>
      <c r="BF120">
        <v>5.2</v>
      </c>
      <c r="BG120">
        <v>0.58509999999999995</v>
      </c>
      <c r="BH120">
        <v>0.18659999999999999</v>
      </c>
      <c r="BI120">
        <v>8.8800000000000004E-2</v>
      </c>
      <c r="BJ120">
        <v>9.4399999999999998E-2</v>
      </c>
      <c r="BK120">
        <v>6.6000000000000003E-2</v>
      </c>
      <c r="BL120">
        <v>0.12089999999999999</v>
      </c>
      <c r="BM120">
        <v>4.7000000000000002E-3</v>
      </c>
      <c r="BN120">
        <v>0.72919999999999996</v>
      </c>
      <c r="BO120">
        <v>-0.91</v>
      </c>
      <c r="BP120">
        <v>2.11</v>
      </c>
      <c r="BQ120">
        <v>1.22</v>
      </c>
      <c r="BR120">
        <v>-2.86</v>
      </c>
      <c r="BS120">
        <v>4843750</v>
      </c>
      <c r="BT120">
        <v>1650640.88</v>
      </c>
      <c r="BU120">
        <v>12.79</v>
      </c>
      <c r="BV120">
        <v>54989.84</v>
      </c>
      <c r="BW120">
        <v>14.57</v>
      </c>
      <c r="BX120">
        <v>31415.834999999999</v>
      </c>
      <c r="BY120">
        <v>3.9798082720000001</v>
      </c>
      <c r="BZ120" s="5">
        <v>566026.30000000005</v>
      </c>
      <c r="CA120" s="5">
        <v>6.65</v>
      </c>
      <c r="CB120" s="5">
        <v>348200.59</v>
      </c>
      <c r="CC120" s="5">
        <v>6.61</v>
      </c>
    </row>
    <row r="121" spans="1:81" x14ac:dyDescent="0.2">
      <c r="A121" s="2">
        <v>41974</v>
      </c>
      <c r="B121">
        <v>2014</v>
      </c>
      <c r="C121">
        <v>12</v>
      </c>
      <c r="E121">
        <v>6.2850000000000001</v>
      </c>
      <c r="F121">
        <v>17</v>
      </c>
      <c r="G121">
        <v>18.5</v>
      </c>
      <c r="J121">
        <v>4.0495000000000001</v>
      </c>
      <c r="K121">
        <v>1.1532</v>
      </c>
      <c r="L121">
        <v>1.2329000000000001</v>
      </c>
      <c r="M121">
        <v>119.3233</v>
      </c>
      <c r="N121">
        <v>6.1886000000000001</v>
      </c>
      <c r="O121">
        <v>1.0691120359999999</v>
      </c>
      <c r="P121">
        <v>103.4714707</v>
      </c>
      <c r="Q121">
        <v>5.3664585499999999</v>
      </c>
      <c r="R121">
        <v>5607502</v>
      </c>
      <c r="S121">
        <v>22707484</v>
      </c>
      <c r="T121">
        <v>27235.07</v>
      </c>
      <c r="U121">
        <v>24691.55</v>
      </c>
      <c r="W121">
        <v>19187500</v>
      </c>
      <c r="X121">
        <v>26250000</v>
      </c>
      <c r="Y121">
        <v>4337.3900000000003</v>
      </c>
      <c r="Z121">
        <v>518.89</v>
      </c>
      <c r="AA121">
        <v>815.02</v>
      </c>
      <c r="AB121">
        <v>288.22000000000003</v>
      </c>
      <c r="AC121">
        <v>150.01</v>
      </c>
      <c r="AD121">
        <v>6109.53</v>
      </c>
      <c r="AE121">
        <v>58926605</v>
      </c>
      <c r="AF121">
        <v>9033820</v>
      </c>
      <c r="AG121">
        <v>13291135</v>
      </c>
      <c r="AH121">
        <v>2122311</v>
      </c>
      <c r="AI121">
        <v>6138385</v>
      </c>
      <c r="AJ121">
        <v>89512256</v>
      </c>
      <c r="AK121">
        <v>402</v>
      </c>
      <c r="AL121">
        <v>2146</v>
      </c>
      <c r="AM121">
        <v>111</v>
      </c>
      <c r="AN121">
        <v>1226</v>
      </c>
      <c r="AO121">
        <v>573</v>
      </c>
      <c r="AP121">
        <v>4458</v>
      </c>
      <c r="AQ121">
        <v>6035552</v>
      </c>
      <c r="AR121">
        <v>30204003</v>
      </c>
      <c r="AS121">
        <v>1458913</v>
      </c>
      <c r="AT121">
        <v>14682552</v>
      </c>
      <c r="AU121">
        <v>9147443</v>
      </c>
      <c r="AV121">
        <v>61528463</v>
      </c>
      <c r="AW121">
        <v>6.16</v>
      </c>
      <c r="AX121">
        <v>7.9</v>
      </c>
      <c r="AY121">
        <v>7.4</v>
      </c>
      <c r="AZ121">
        <v>3.34</v>
      </c>
      <c r="BA121">
        <v>6.65</v>
      </c>
      <c r="BB121">
        <v>6.81</v>
      </c>
      <c r="BC121">
        <v>6.38</v>
      </c>
      <c r="BD121">
        <v>5.96</v>
      </c>
      <c r="BE121">
        <v>5.43</v>
      </c>
      <c r="BF121">
        <v>6.26</v>
      </c>
      <c r="BG121">
        <v>0.70989999999999998</v>
      </c>
      <c r="BH121">
        <v>8.4900000000000003E-2</v>
      </c>
      <c r="BI121">
        <v>0.13339999999999999</v>
      </c>
      <c r="BJ121">
        <v>4.7199999999999999E-2</v>
      </c>
      <c r="BK121">
        <v>9.0200000000000002E-2</v>
      </c>
      <c r="BL121">
        <v>0.48139999999999999</v>
      </c>
      <c r="BM121">
        <v>2.4899999999999999E-2</v>
      </c>
      <c r="BN121">
        <v>0.27500000000000002</v>
      </c>
      <c r="BO121">
        <v>0.09</v>
      </c>
      <c r="BP121">
        <v>1.74</v>
      </c>
      <c r="BQ121">
        <v>1.23</v>
      </c>
      <c r="BR121">
        <v>-2.82</v>
      </c>
      <c r="BS121">
        <v>19187500</v>
      </c>
      <c r="BT121">
        <v>2215565.94</v>
      </c>
      <c r="BU121">
        <v>12.09</v>
      </c>
      <c r="BV121">
        <v>2509708.54</v>
      </c>
      <c r="BW121">
        <v>12.88</v>
      </c>
      <c r="BX121">
        <v>39658.909180000002</v>
      </c>
      <c r="BY121">
        <v>6.071372233</v>
      </c>
      <c r="BZ121" s="5">
        <v>312430.55</v>
      </c>
      <c r="CA121" s="5">
        <v>7.37</v>
      </c>
      <c r="CB121" s="5">
        <v>67163.88</v>
      </c>
      <c r="CC121" s="5">
        <v>7.16</v>
      </c>
    </row>
    <row r="122" spans="1:81" x14ac:dyDescent="0.2">
      <c r="A122" s="2">
        <v>42005</v>
      </c>
      <c r="B122">
        <v>2015</v>
      </c>
      <c r="C122">
        <v>1</v>
      </c>
      <c r="E122">
        <v>6.5940000000000003</v>
      </c>
      <c r="F122">
        <v>17.22</v>
      </c>
      <c r="G122">
        <v>18.5</v>
      </c>
      <c r="J122">
        <v>4.7706999999999997</v>
      </c>
      <c r="K122">
        <v>1.2121999999999999</v>
      </c>
      <c r="L122">
        <v>1.1615</v>
      </c>
      <c r="M122">
        <v>118.25</v>
      </c>
      <c r="N122">
        <v>6.2180999999999997</v>
      </c>
      <c r="O122">
        <v>0.95817521900000002</v>
      </c>
      <c r="P122">
        <v>97.549909260000007</v>
      </c>
      <c r="Q122">
        <v>5.1295990759999999</v>
      </c>
      <c r="R122">
        <v>1385509</v>
      </c>
      <c r="S122">
        <v>6609791</v>
      </c>
      <c r="T122">
        <v>10667.21</v>
      </c>
      <c r="U122">
        <v>10038.75</v>
      </c>
      <c r="W122">
        <v>15625000</v>
      </c>
      <c r="X122">
        <v>26250000</v>
      </c>
      <c r="Y122">
        <v>3958.34</v>
      </c>
      <c r="Z122">
        <v>677.56</v>
      </c>
      <c r="AA122">
        <v>205.32</v>
      </c>
      <c r="AB122">
        <v>213.07</v>
      </c>
      <c r="AC122">
        <v>73.47</v>
      </c>
      <c r="AD122">
        <v>5127.76</v>
      </c>
      <c r="AE122">
        <v>60358457</v>
      </c>
      <c r="AF122">
        <v>13034239</v>
      </c>
      <c r="AG122">
        <v>3632805</v>
      </c>
      <c r="AH122">
        <v>978247</v>
      </c>
      <c r="AI122">
        <v>4660544</v>
      </c>
      <c r="AJ122">
        <v>82664292</v>
      </c>
      <c r="AK122">
        <v>305</v>
      </c>
      <c r="AL122">
        <v>498</v>
      </c>
      <c r="AM122">
        <v>11</v>
      </c>
      <c r="AN122">
        <v>209</v>
      </c>
      <c r="AO122">
        <v>428</v>
      </c>
      <c r="AP122">
        <v>1451</v>
      </c>
      <c r="AQ122">
        <v>4631983</v>
      </c>
      <c r="AR122">
        <v>7273813</v>
      </c>
      <c r="AS122">
        <v>172824</v>
      </c>
      <c r="AT122">
        <v>2628773</v>
      </c>
      <c r="AU122">
        <v>7050144</v>
      </c>
      <c r="AV122">
        <v>21757537</v>
      </c>
      <c r="AW122">
        <v>6.92</v>
      </c>
      <c r="AX122">
        <v>8.73</v>
      </c>
      <c r="AY122">
        <v>8.0299999999999994</v>
      </c>
      <c r="AZ122">
        <v>2.08</v>
      </c>
      <c r="BA122">
        <v>7.31</v>
      </c>
      <c r="BB122">
        <v>6.89</v>
      </c>
      <c r="BC122">
        <v>6.63</v>
      </c>
      <c r="BD122">
        <v>7.13</v>
      </c>
      <c r="BE122">
        <v>5.71</v>
      </c>
      <c r="BF122">
        <v>6.8</v>
      </c>
      <c r="BG122">
        <v>0.77190000000000003</v>
      </c>
      <c r="BH122">
        <v>0.1321</v>
      </c>
      <c r="BI122">
        <v>0.04</v>
      </c>
      <c r="BJ122">
        <v>4.1599999999999998E-2</v>
      </c>
      <c r="BK122">
        <v>0.2102</v>
      </c>
      <c r="BL122">
        <v>0.34320000000000001</v>
      </c>
      <c r="BM122">
        <v>7.6E-3</v>
      </c>
      <c r="BN122">
        <v>0.14399999999999999</v>
      </c>
      <c r="BO122">
        <v>0</v>
      </c>
      <c r="BP122">
        <v>1.81</v>
      </c>
      <c r="BQ122">
        <v>1.1100000000000001</v>
      </c>
      <c r="BR122">
        <v>-4.83</v>
      </c>
      <c r="BS122">
        <v>15625000</v>
      </c>
      <c r="BT122">
        <v>1164934.44</v>
      </c>
      <c r="BU122">
        <v>11.24</v>
      </c>
      <c r="BV122">
        <v>49859.69</v>
      </c>
      <c r="BW122">
        <v>14.77</v>
      </c>
      <c r="BX122">
        <v>9645.2124999999996</v>
      </c>
      <c r="BY122">
        <v>13.015576380000001</v>
      </c>
      <c r="BZ122" s="5">
        <v>192640.08</v>
      </c>
      <c r="CA122" s="5">
        <v>6.78</v>
      </c>
      <c r="CB122" s="5">
        <v>51729.31</v>
      </c>
      <c r="CC122" s="5">
        <v>10.63</v>
      </c>
    </row>
    <row r="123" spans="1:81" x14ac:dyDescent="0.2">
      <c r="A123" s="2">
        <v>42036</v>
      </c>
      <c r="B123">
        <v>2015</v>
      </c>
      <c r="C123">
        <v>2</v>
      </c>
      <c r="E123">
        <v>7.7809999999999997</v>
      </c>
      <c r="F123">
        <v>17.25</v>
      </c>
      <c r="G123">
        <v>18.57</v>
      </c>
      <c r="J123">
        <v>6.6422999999999996</v>
      </c>
      <c r="K123">
        <v>1.2499</v>
      </c>
      <c r="L123">
        <v>1.135</v>
      </c>
      <c r="M123">
        <v>118.76</v>
      </c>
      <c r="N123">
        <v>6.2518000000000002</v>
      </c>
      <c r="O123">
        <v>0.90807264600000004</v>
      </c>
      <c r="P123">
        <v>95.015601250000003</v>
      </c>
      <c r="Q123">
        <v>5.0018401470000002</v>
      </c>
      <c r="R123">
        <v>426769</v>
      </c>
      <c r="S123">
        <v>2834734</v>
      </c>
      <c r="T123">
        <v>370.68</v>
      </c>
      <c r="U123">
        <v>177.1</v>
      </c>
      <c r="W123">
        <v>11500000</v>
      </c>
      <c r="X123">
        <v>26250000</v>
      </c>
      <c r="Y123">
        <v>2905.7</v>
      </c>
      <c r="Z123">
        <v>759.98</v>
      </c>
      <c r="AA123">
        <v>237.88</v>
      </c>
      <c r="AB123">
        <v>198.29</v>
      </c>
      <c r="AC123">
        <v>76.849999999999994</v>
      </c>
      <c r="AD123">
        <v>4178.7</v>
      </c>
      <c r="AE123">
        <v>49002189</v>
      </c>
      <c r="AF123">
        <v>14081397</v>
      </c>
      <c r="AG123">
        <v>4469692</v>
      </c>
      <c r="AH123">
        <v>1163960</v>
      </c>
      <c r="AI123">
        <v>4440663</v>
      </c>
      <c r="AJ123">
        <v>73157901</v>
      </c>
      <c r="AK123">
        <v>552</v>
      </c>
      <c r="AL123">
        <v>526</v>
      </c>
      <c r="AM123">
        <v>10</v>
      </c>
      <c r="AN123">
        <v>45</v>
      </c>
      <c r="AO123">
        <v>388</v>
      </c>
      <c r="AP123">
        <v>1521</v>
      </c>
      <c r="AQ123">
        <v>8116739</v>
      </c>
      <c r="AR123">
        <v>7575060</v>
      </c>
      <c r="AS123">
        <v>172037</v>
      </c>
      <c r="AT123">
        <v>530174</v>
      </c>
      <c r="AU123">
        <v>6334701</v>
      </c>
      <c r="AV123">
        <v>22728711</v>
      </c>
      <c r="AW123">
        <v>7.65</v>
      </c>
      <c r="AX123">
        <v>8.4</v>
      </c>
      <c r="AY123">
        <v>8.52</v>
      </c>
      <c r="AZ123">
        <v>2.66</v>
      </c>
      <c r="BA123">
        <v>7.94</v>
      </c>
      <c r="BB123">
        <v>6.67</v>
      </c>
      <c r="BC123">
        <v>6.53</v>
      </c>
      <c r="BD123">
        <v>7.8</v>
      </c>
      <c r="BE123">
        <v>5.34</v>
      </c>
      <c r="BF123">
        <v>6.78</v>
      </c>
      <c r="BG123">
        <v>0.69540000000000002</v>
      </c>
      <c r="BH123">
        <v>0.18190000000000001</v>
      </c>
      <c r="BI123">
        <v>5.6899999999999999E-2</v>
      </c>
      <c r="BJ123">
        <v>4.7500000000000001E-2</v>
      </c>
      <c r="BK123">
        <v>0.3629</v>
      </c>
      <c r="BL123">
        <v>0.3458</v>
      </c>
      <c r="BM123">
        <v>6.6E-3</v>
      </c>
      <c r="BN123">
        <v>2.9600000000000001E-2</v>
      </c>
      <c r="BO123">
        <v>-0.78</v>
      </c>
      <c r="BP123">
        <v>0.75</v>
      </c>
      <c r="BQ123">
        <v>0.87</v>
      </c>
      <c r="BR123">
        <v>-4.99</v>
      </c>
      <c r="BS123">
        <v>11500000</v>
      </c>
      <c r="BT123">
        <v>347858.17</v>
      </c>
      <c r="BU123">
        <v>11.68</v>
      </c>
      <c r="BV123">
        <v>67386.41</v>
      </c>
      <c r="BW123">
        <v>15.52</v>
      </c>
      <c r="BX123">
        <v>485.01639999999998</v>
      </c>
      <c r="BY123">
        <v>5.8224835280000002</v>
      </c>
      <c r="BZ123" s="5">
        <v>117184.61</v>
      </c>
      <c r="CA123" s="5">
        <v>5.62</v>
      </c>
      <c r="CB123" s="5">
        <v>15117.11</v>
      </c>
      <c r="CC123" s="5">
        <v>5.89</v>
      </c>
    </row>
    <row r="124" spans="1:81" x14ac:dyDescent="0.2">
      <c r="A124" s="2">
        <v>42064</v>
      </c>
      <c r="B124">
        <v>2015</v>
      </c>
      <c r="C124">
        <v>3</v>
      </c>
      <c r="E124">
        <v>10.010999999999999</v>
      </c>
      <c r="F124">
        <v>17.03</v>
      </c>
      <c r="G124">
        <v>18.600000000000001</v>
      </c>
      <c r="J124">
        <v>8.2363</v>
      </c>
      <c r="K124">
        <v>1.2618</v>
      </c>
      <c r="L124">
        <v>1.0819000000000001</v>
      </c>
      <c r="M124">
        <v>120.39449999999999</v>
      </c>
      <c r="N124">
        <v>6.2385999999999999</v>
      </c>
      <c r="O124">
        <v>0.85742589999999996</v>
      </c>
      <c r="P124">
        <v>95.414883500000002</v>
      </c>
      <c r="Q124">
        <v>4.9442066889999996</v>
      </c>
      <c r="R124">
        <v>860172</v>
      </c>
      <c r="S124">
        <v>7084674</v>
      </c>
      <c r="T124">
        <v>567.27</v>
      </c>
      <c r="U124">
        <v>177.1</v>
      </c>
      <c r="W124">
        <v>6062500</v>
      </c>
      <c r="X124">
        <v>26250000</v>
      </c>
      <c r="Y124">
        <v>2385.9899999999998</v>
      </c>
      <c r="Z124">
        <v>558.1</v>
      </c>
      <c r="AA124">
        <v>261.33</v>
      </c>
      <c r="AB124">
        <v>220.48</v>
      </c>
      <c r="AC124">
        <v>106.5</v>
      </c>
      <c r="AD124">
        <v>3532.4</v>
      </c>
      <c r="AE124">
        <v>46417829</v>
      </c>
      <c r="AF124">
        <v>10983136</v>
      </c>
      <c r="AG124">
        <v>5282090</v>
      </c>
      <c r="AH124">
        <v>1866492</v>
      </c>
      <c r="AI124">
        <v>5036466</v>
      </c>
      <c r="AJ124">
        <v>69586013</v>
      </c>
      <c r="AK124">
        <v>299</v>
      </c>
      <c r="AL124">
        <v>569</v>
      </c>
      <c r="AM124">
        <v>12</v>
      </c>
      <c r="AN124">
        <v>9</v>
      </c>
      <c r="AO124">
        <v>288</v>
      </c>
      <c r="AP124">
        <v>1177</v>
      </c>
      <c r="AQ124">
        <v>4615082</v>
      </c>
      <c r="AR124">
        <v>8064872</v>
      </c>
      <c r="AS124">
        <v>216956</v>
      </c>
      <c r="AT124">
        <v>88081</v>
      </c>
      <c r="AU124">
        <v>4357318</v>
      </c>
      <c r="AV124">
        <v>17342309</v>
      </c>
      <c r="AW124">
        <v>8.82</v>
      </c>
      <c r="AX124">
        <v>8.93</v>
      </c>
      <c r="AY124">
        <v>9.17</v>
      </c>
      <c r="AZ124">
        <v>3.84</v>
      </c>
      <c r="BA124">
        <v>8.94</v>
      </c>
      <c r="BB124">
        <v>7</v>
      </c>
      <c r="BC124">
        <v>6.43</v>
      </c>
      <c r="BD124">
        <v>8.1999999999999993</v>
      </c>
      <c r="BE124">
        <v>4.4400000000000004</v>
      </c>
      <c r="BF124">
        <v>6.68</v>
      </c>
      <c r="BG124">
        <v>0.67549999999999999</v>
      </c>
      <c r="BH124">
        <v>0.158</v>
      </c>
      <c r="BI124">
        <v>7.3999999999999996E-2</v>
      </c>
      <c r="BJ124">
        <v>6.2399999999999997E-2</v>
      </c>
      <c r="BK124">
        <v>0.254</v>
      </c>
      <c r="BL124">
        <v>0.4834</v>
      </c>
      <c r="BM124">
        <v>1.0200000000000001E-2</v>
      </c>
      <c r="BN124">
        <v>7.6E-3</v>
      </c>
      <c r="BO124">
        <v>-2.5499999999999998</v>
      </c>
      <c r="BP124">
        <v>0.11</v>
      </c>
      <c r="BQ124">
        <v>0.34</v>
      </c>
      <c r="BR124">
        <v>-4.9800000000000004</v>
      </c>
      <c r="BS124">
        <v>6062500</v>
      </c>
      <c r="BT124">
        <v>191321.33</v>
      </c>
      <c r="BU124">
        <v>13.09</v>
      </c>
      <c r="BV124">
        <v>3160186.08</v>
      </c>
      <c r="BW124">
        <v>13.61</v>
      </c>
      <c r="BX124">
        <v>5765.0812999999998</v>
      </c>
      <c r="BY124">
        <v>9.7714146720000006</v>
      </c>
      <c r="BZ124" s="5">
        <v>96725.69</v>
      </c>
      <c r="CA124" s="5">
        <v>6.69</v>
      </c>
      <c r="CB124" s="5">
        <v>62655.43</v>
      </c>
      <c r="CC124" s="5">
        <v>5.55</v>
      </c>
    </row>
    <row r="125" spans="1:81" x14ac:dyDescent="0.2">
      <c r="A125" s="2">
        <v>42095</v>
      </c>
      <c r="B125">
        <v>2015</v>
      </c>
      <c r="C125">
        <v>4</v>
      </c>
      <c r="E125">
        <v>10</v>
      </c>
      <c r="F125">
        <v>16.75</v>
      </c>
      <c r="G125">
        <v>18.600000000000001</v>
      </c>
      <c r="J125">
        <v>7.9221000000000004</v>
      </c>
      <c r="K125">
        <v>1.2337</v>
      </c>
      <c r="L125">
        <v>1.0822000000000001</v>
      </c>
      <c r="M125">
        <v>119.5095</v>
      </c>
      <c r="N125">
        <v>6.2009999999999996</v>
      </c>
      <c r="O125">
        <v>0.87719867100000004</v>
      </c>
      <c r="P125">
        <v>96.870795169999994</v>
      </c>
      <c r="Q125">
        <v>5.0263435190000001</v>
      </c>
      <c r="R125">
        <v>1269222</v>
      </c>
      <c r="S125">
        <v>10054886</v>
      </c>
      <c r="T125">
        <v>1735.2</v>
      </c>
      <c r="U125">
        <v>1159.49</v>
      </c>
      <c r="W125">
        <v>2593750</v>
      </c>
      <c r="X125">
        <v>26250000</v>
      </c>
      <c r="Y125">
        <v>1760.75</v>
      </c>
      <c r="Z125">
        <v>452.99</v>
      </c>
      <c r="AA125">
        <v>206.19</v>
      </c>
      <c r="AB125">
        <v>172.58</v>
      </c>
      <c r="AC125">
        <v>80.459999999999994</v>
      </c>
      <c r="AD125">
        <v>2672.97</v>
      </c>
      <c r="AE125">
        <v>34930183</v>
      </c>
      <c r="AF125">
        <v>8844890</v>
      </c>
      <c r="AG125">
        <v>3786463</v>
      </c>
      <c r="AH125">
        <v>1369817</v>
      </c>
      <c r="AI125">
        <v>3677817</v>
      </c>
      <c r="AJ125">
        <v>52609170</v>
      </c>
      <c r="AK125">
        <v>290</v>
      </c>
      <c r="AL125">
        <v>388</v>
      </c>
      <c r="AM125">
        <v>40</v>
      </c>
      <c r="AN125">
        <v>6</v>
      </c>
      <c r="AO125">
        <v>228</v>
      </c>
      <c r="AP125">
        <v>952</v>
      </c>
      <c r="AQ125">
        <v>4376807</v>
      </c>
      <c r="AR125">
        <v>6285765</v>
      </c>
      <c r="AS125">
        <v>344919</v>
      </c>
      <c r="AT125">
        <v>89994</v>
      </c>
      <c r="AU125">
        <v>3495747</v>
      </c>
      <c r="AV125">
        <v>14593232</v>
      </c>
      <c r="AW125">
        <v>9</v>
      </c>
      <c r="AX125">
        <v>8.86</v>
      </c>
      <c r="AY125">
        <v>8.33</v>
      </c>
      <c r="AZ125">
        <v>3.6</v>
      </c>
      <c r="BA125">
        <v>8.93</v>
      </c>
      <c r="BB125">
        <v>6.85</v>
      </c>
      <c r="BC125">
        <v>7.35</v>
      </c>
      <c r="BD125">
        <v>3.91</v>
      </c>
      <c r="BE125">
        <v>6.8</v>
      </c>
      <c r="BF125">
        <v>6.95</v>
      </c>
      <c r="BG125">
        <v>0.65869999999999995</v>
      </c>
      <c r="BH125">
        <v>0.16950000000000001</v>
      </c>
      <c r="BI125">
        <v>7.7100000000000002E-2</v>
      </c>
      <c r="BJ125">
        <v>6.4600000000000005E-2</v>
      </c>
      <c r="BK125">
        <v>0.30459999999999998</v>
      </c>
      <c r="BL125">
        <v>0.40760000000000002</v>
      </c>
      <c r="BM125">
        <v>4.2000000000000003E-2</v>
      </c>
      <c r="BN125">
        <v>6.3E-3</v>
      </c>
      <c r="BO125">
        <v>-0.49</v>
      </c>
      <c r="BP125">
        <v>-0.14000000000000001</v>
      </c>
      <c r="BQ125">
        <v>-0.67</v>
      </c>
      <c r="BR125">
        <v>-5.4</v>
      </c>
      <c r="BS125">
        <v>2593750</v>
      </c>
      <c r="BT125">
        <v>214610.94</v>
      </c>
      <c r="BU125">
        <v>10.31</v>
      </c>
      <c r="BV125">
        <v>47681.52</v>
      </c>
      <c r="BW125">
        <v>15.51</v>
      </c>
      <c r="BX125">
        <v>39760.3217</v>
      </c>
      <c r="BY125">
        <v>6.0198205089999997</v>
      </c>
      <c r="BZ125" s="5">
        <v>107451.19</v>
      </c>
      <c r="CA125" s="5">
        <v>5.4</v>
      </c>
      <c r="CB125" s="5">
        <v>35243.129999999997</v>
      </c>
      <c r="CC125" s="5">
        <v>6.57</v>
      </c>
    </row>
    <row r="126" spans="1:81" x14ac:dyDescent="0.2">
      <c r="A126" s="2">
        <v>42125</v>
      </c>
      <c r="B126">
        <v>2015</v>
      </c>
      <c r="C126">
        <v>5</v>
      </c>
      <c r="E126">
        <v>6.9870000000000001</v>
      </c>
      <c r="F126">
        <v>16.5</v>
      </c>
      <c r="G126">
        <v>18.600000000000001</v>
      </c>
      <c r="J126">
        <v>5.3342999999999998</v>
      </c>
      <c r="K126">
        <v>1.2176</v>
      </c>
      <c r="L126">
        <v>1.1167</v>
      </c>
      <c r="M126">
        <v>120.798</v>
      </c>
      <c r="N126">
        <v>6.2035</v>
      </c>
      <c r="O126">
        <v>0.91713206300000005</v>
      </c>
      <c r="P126">
        <v>99.209921159999993</v>
      </c>
      <c r="Q126">
        <v>5.0948587390000002</v>
      </c>
      <c r="R126">
        <v>2629408</v>
      </c>
      <c r="S126">
        <v>14025961</v>
      </c>
      <c r="T126">
        <v>30050.93</v>
      </c>
      <c r="U126">
        <v>28858.25</v>
      </c>
      <c r="W126">
        <v>4516667.5</v>
      </c>
      <c r="X126">
        <v>26250000</v>
      </c>
      <c r="Y126">
        <v>2670.56</v>
      </c>
      <c r="Z126">
        <v>732.89</v>
      </c>
      <c r="AA126">
        <v>282.08999999999997</v>
      </c>
      <c r="AB126">
        <v>221.48</v>
      </c>
      <c r="AC126">
        <v>77.23</v>
      </c>
      <c r="AD126">
        <v>3984.25</v>
      </c>
      <c r="AE126">
        <v>51043104</v>
      </c>
      <c r="AF126">
        <v>14046946</v>
      </c>
      <c r="AG126">
        <v>5263496</v>
      </c>
      <c r="AH126">
        <v>1254931</v>
      </c>
      <c r="AI126">
        <v>5066227</v>
      </c>
      <c r="AJ126">
        <v>76674704</v>
      </c>
      <c r="AK126">
        <v>253</v>
      </c>
      <c r="AL126">
        <v>558</v>
      </c>
      <c r="AM126">
        <v>24</v>
      </c>
      <c r="AN126">
        <v>17</v>
      </c>
      <c r="AO126">
        <v>261</v>
      </c>
      <c r="AP126">
        <v>1113</v>
      </c>
      <c r="AQ126">
        <v>3834062</v>
      </c>
      <c r="AR126">
        <v>9214089</v>
      </c>
      <c r="AS126">
        <v>349138</v>
      </c>
      <c r="AT126">
        <v>228163</v>
      </c>
      <c r="AU126">
        <v>4202712</v>
      </c>
      <c r="AV126">
        <v>17828164</v>
      </c>
      <c r="AW126">
        <v>8.67</v>
      </c>
      <c r="AX126">
        <v>8.69</v>
      </c>
      <c r="AY126">
        <v>8.4600000000000009</v>
      </c>
      <c r="AZ126">
        <v>2.57</v>
      </c>
      <c r="BA126">
        <v>8.73</v>
      </c>
      <c r="BB126">
        <v>6.87</v>
      </c>
      <c r="BC126">
        <v>7.49</v>
      </c>
      <c r="BD126">
        <v>6.6</v>
      </c>
      <c r="BE126">
        <v>6.09</v>
      </c>
      <c r="BF126">
        <v>7.27</v>
      </c>
      <c r="BG126">
        <v>0.67030000000000001</v>
      </c>
      <c r="BH126">
        <v>0.18390000000000001</v>
      </c>
      <c r="BI126">
        <v>7.0800000000000002E-2</v>
      </c>
      <c r="BJ126">
        <v>5.5599999999999997E-2</v>
      </c>
      <c r="BK126">
        <v>0.2273</v>
      </c>
      <c r="BL126">
        <v>0.50129999999999997</v>
      </c>
      <c r="BM126">
        <v>2.1600000000000001E-2</v>
      </c>
      <c r="BN126">
        <v>1.5299999999999999E-2</v>
      </c>
      <c r="BO126">
        <v>-1.03</v>
      </c>
      <c r="BP126">
        <v>0.02</v>
      </c>
      <c r="BQ126">
        <v>-0.21</v>
      </c>
      <c r="BR126">
        <v>-6.1</v>
      </c>
      <c r="BS126">
        <v>4516667.5</v>
      </c>
      <c r="BT126">
        <v>219544.88</v>
      </c>
      <c r="BU126">
        <v>10.97</v>
      </c>
      <c r="BV126">
        <v>2163124.64</v>
      </c>
      <c r="BW126">
        <v>14.14</v>
      </c>
      <c r="BZ126" s="5">
        <v>167811.6</v>
      </c>
      <c r="CA126" s="5">
        <v>4.67</v>
      </c>
      <c r="CB126" s="5">
        <v>0</v>
      </c>
      <c r="CC126" s="5">
        <v>0</v>
      </c>
    </row>
    <row r="127" spans="1:81" x14ac:dyDescent="0.2">
      <c r="A127" s="2">
        <v>42156</v>
      </c>
      <c r="B127">
        <v>2015</v>
      </c>
      <c r="C127">
        <v>6</v>
      </c>
      <c r="E127">
        <v>5.8890000000000002</v>
      </c>
      <c r="F127">
        <v>16.61</v>
      </c>
      <c r="G127">
        <v>19.82</v>
      </c>
      <c r="J127">
        <v>4.8578999999999999</v>
      </c>
      <c r="K127">
        <v>1.2364999999999999</v>
      </c>
      <c r="L127">
        <v>1.1226</v>
      </c>
      <c r="M127">
        <v>123.7186</v>
      </c>
      <c r="N127">
        <v>6.2051999999999996</v>
      </c>
      <c r="O127">
        <v>0.90788515999999997</v>
      </c>
      <c r="P127">
        <v>100.05547919999999</v>
      </c>
      <c r="Q127">
        <v>5.0183582690000001</v>
      </c>
      <c r="R127">
        <v>3897891</v>
      </c>
      <c r="S127">
        <v>18935758</v>
      </c>
      <c r="T127">
        <v>19866.71</v>
      </c>
      <c r="U127">
        <v>18098.650000000001</v>
      </c>
      <c r="W127">
        <v>19718750</v>
      </c>
      <c r="X127">
        <v>26250000</v>
      </c>
      <c r="Y127">
        <v>5929.18</v>
      </c>
      <c r="Z127">
        <v>562.66</v>
      </c>
      <c r="AA127">
        <v>473.41</v>
      </c>
      <c r="AB127">
        <v>198.9</v>
      </c>
      <c r="AC127">
        <v>106.45</v>
      </c>
      <c r="AD127">
        <v>7270.6</v>
      </c>
      <c r="AE127">
        <v>92457817</v>
      </c>
      <c r="AF127">
        <v>10463655</v>
      </c>
      <c r="AG127">
        <v>7966083</v>
      </c>
      <c r="AH127">
        <v>1394755</v>
      </c>
      <c r="AI127">
        <v>4615712</v>
      </c>
      <c r="AJ127">
        <v>116898022</v>
      </c>
      <c r="AK127">
        <v>258</v>
      </c>
      <c r="AL127">
        <v>696</v>
      </c>
      <c r="AM127">
        <v>15</v>
      </c>
      <c r="AN127">
        <v>47</v>
      </c>
      <c r="AO127">
        <v>269</v>
      </c>
      <c r="AP127">
        <v>1285</v>
      </c>
      <c r="AQ127">
        <v>3949490</v>
      </c>
      <c r="AR127">
        <v>11432624</v>
      </c>
      <c r="AS127">
        <v>201432</v>
      </c>
      <c r="AT127">
        <v>521884</v>
      </c>
      <c r="AU127">
        <v>4209621</v>
      </c>
      <c r="AV127">
        <v>20315051</v>
      </c>
      <c r="AW127">
        <v>7.07</v>
      </c>
      <c r="AX127">
        <v>8.44</v>
      </c>
      <c r="AY127">
        <v>7.63</v>
      </c>
      <c r="AZ127">
        <v>3.18</v>
      </c>
      <c r="BA127">
        <v>7.29</v>
      </c>
      <c r="BB127">
        <v>6.94</v>
      </c>
      <c r="BC127">
        <v>7.45</v>
      </c>
      <c r="BD127">
        <v>6.09</v>
      </c>
      <c r="BE127">
        <v>5.04</v>
      </c>
      <c r="BF127">
        <v>7.17</v>
      </c>
      <c r="BG127">
        <v>0.8155</v>
      </c>
      <c r="BH127">
        <v>7.7399999999999997E-2</v>
      </c>
      <c r="BI127">
        <v>6.5100000000000005E-2</v>
      </c>
      <c r="BJ127">
        <v>2.7400000000000001E-2</v>
      </c>
      <c r="BK127">
        <v>0.20080000000000001</v>
      </c>
      <c r="BL127">
        <v>0.54159999999999997</v>
      </c>
      <c r="BM127">
        <v>1.17E-2</v>
      </c>
      <c r="BN127">
        <v>3.6600000000000001E-2</v>
      </c>
      <c r="BO127">
        <v>-0.68</v>
      </c>
      <c r="BP127">
        <v>1.37</v>
      </c>
      <c r="BQ127">
        <v>0.56000000000000005</v>
      </c>
      <c r="BR127">
        <v>-3.89</v>
      </c>
      <c r="BS127">
        <v>19718750</v>
      </c>
      <c r="BT127">
        <v>3739833.59</v>
      </c>
      <c r="BU127">
        <v>12.81</v>
      </c>
      <c r="BV127">
        <v>3145600.32</v>
      </c>
      <c r="BW127">
        <v>13.94</v>
      </c>
      <c r="BX127">
        <v>687887.73699999996</v>
      </c>
      <c r="BY127">
        <v>4.4683555679999998</v>
      </c>
      <c r="BZ127" s="5">
        <v>629329.88</v>
      </c>
      <c r="CA127" s="5">
        <v>6.65</v>
      </c>
      <c r="CB127" s="5">
        <v>315336.25</v>
      </c>
      <c r="CC127" s="5">
        <v>6.1</v>
      </c>
    </row>
    <row r="128" spans="1:81" x14ac:dyDescent="0.2">
      <c r="A128" s="2">
        <v>42186</v>
      </c>
      <c r="B128">
        <v>2015</v>
      </c>
      <c r="C128">
        <v>7</v>
      </c>
      <c r="E128">
        <v>7.1059999999999999</v>
      </c>
      <c r="F128">
        <v>16.829999999999998</v>
      </c>
      <c r="G128">
        <v>21.83</v>
      </c>
      <c r="J128">
        <v>4.1018999999999997</v>
      </c>
      <c r="K128">
        <v>1.2863</v>
      </c>
      <c r="L128">
        <v>1.0996999999999999</v>
      </c>
      <c r="M128">
        <v>123.3109</v>
      </c>
      <c r="N128">
        <v>6.2084999999999999</v>
      </c>
      <c r="O128">
        <v>0.85493275300000005</v>
      </c>
      <c r="P128">
        <v>95.864806029999997</v>
      </c>
      <c r="Q128">
        <v>4.826634533</v>
      </c>
      <c r="R128">
        <v>14181965</v>
      </c>
      <c r="S128">
        <v>58172425</v>
      </c>
      <c r="T128">
        <v>8420.24</v>
      </c>
      <c r="U128">
        <v>1987.4</v>
      </c>
      <c r="W128">
        <v>19375000</v>
      </c>
      <c r="X128">
        <v>26250000</v>
      </c>
      <c r="Y128">
        <v>1573.36</v>
      </c>
      <c r="Z128">
        <v>538.02</v>
      </c>
      <c r="AA128">
        <v>286.79000000000002</v>
      </c>
      <c r="AB128">
        <v>295.88</v>
      </c>
      <c r="AC128">
        <v>93.22</v>
      </c>
      <c r="AD128">
        <v>2787.27</v>
      </c>
      <c r="AE128">
        <v>29079665</v>
      </c>
      <c r="AF128">
        <v>9825261</v>
      </c>
      <c r="AG128">
        <v>5322724</v>
      </c>
      <c r="AH128">
        <v>1216983</v>
      </c>
      <c r="AI128">
        <v>6376833</v>
      </c>
      <c r="AJ128">
        <v>51821466</v>
      </c>
      <c r="AK128">
        <v>245</v>
      </c>
      <c r="AL128">
        <v>714</v>
      </c>
      <c r="AM128">
        <v>19</v>
      </c>
      <c r="AN128">
        <v>2019</v>
      </c>
      <c r="AO128">
        <v>277</v>
      </c>
      <c r="AP128">
        <v>3274</v>
      </c>
      <c r="AQ128">
        <v>3761407</v>
      </c>
      <c r="AR128">
        <v>11774709</v>
      </c>
      <c r="AS128">
        <v>272030</v>
      </c>
      <c r="AT128">
        <v>19669543</v>
      </c>
      <c r="AU128">
        <v>4365090</v>
      </c>
      <c r="AV128">
        <v>39842779</v>
      </c>
      <c r="AW128">
        <v>8.3800000000000008</v>
      </c>
      <c r="AX128">
        <v>8.2799999999999994</v>
      </c>
      <c r="AY128">
        <v>8.42</v>
      </c>
      <c r="AZ128">
        <v>1.87</v>
      </c>
      <c r="BA128">
        <v>8.43</v>
      </c>
      <c r="BB128">
        <v>6.96</v>
      </c>
      <c r="BC128">
        <v>7.48</v>
      </c>
      <c r="BD128">
        <v>6.49</v>
      </c>
      <c r="BE128">
        <v>4.42</v>
      </c>
      <c r="BF128">
        <v>5.52</v>
      </c>
      <c r="BG128">
        <v>0.5645</v>
      </c>
      <c r="BH128">
        <v>0.193</v>
      </c>
      <c r="BI128">
        <v>0.10290000000000001</v>
      </c>
      <c r="BJ128">
        <v>0.1062</v>
      </c>
      <c r="BK128">
        <v>7.4800000000000005E-2</v>
      </c>
      <c r="BL128">
        <v>0.21809999999999999</v>
      </c>
      <c r="BM128">
        <v>5.7999999999999996E-3</v>
      </c>
      <c r="BN128">
        <v>0.61670000000000003</v>
      </c>
      <c r="BO128">
        <v>-2.1</v>
      </c>
      <c r="BP128">
        <v>-0.1</v>
      </c>
      <c r="BQ128">
        <v>0.03</v>
      </c>
      <c r="BR128">
        <v>-6.52</v>
      </c>
      <c r="BS128">
        <v>19375000</v>
      </c>
      <c r="BT128">
        <v>1873900.54</v>
      </c>
      <c r="BU128">
        <v>15.28</v>
      </c>
      <c r="BV128">
        <v>16382.53</v>
      </c>
      <c r="BW128">
        <v>16.3</v>
      </c>
      <c r="BX128">
        <v>540786.67209999997</v>
      </c>
      <c r="BY128">
        <v>4.3567900640000001</v>
      </c>
      <c r="BZ128" s="5">
        <v>1451751.79</v>
      </c>
      <c r="CA128" s="5">
        <v>6.66</v>
      </c>
      <c r="CB128" s="5">
        <v>599230.15</v>
      </c>
      <c r="CC128" s="5">
        <v>6.51</v>
      </c>
    </row>
    <row r="129" spans="1:81" x14ac:dyDescent="0.2">
      <c r="A129" s="2">
        <v>42217</v>
      </c>
      <c r="B129">
        <v>2015</v>
      </c>
      <c r="C129">
        <v>8</v>
      </c>
      <c r="E129">
        <v>7.1749999999999998</v>
      </c>
      <c r="F129">
        <v>17</v>
      </c>
      <c r="G129">
        <v>22.5</v>
      </c>
      <c r="J129">
        <v>3.7642000000000002</v>
      </c>
      <c r="K129">
        <v>1.3147</v>
      </c>
      <c r="L129">
        <v>1.1135999999999999</v>
      </c>
      <c r="M129">
        <v>123.0038</v>
      </c>
      <c r="N129">
        <v>6.3383000000000003</v>
      </c>
      <c r="O129">
        <v>0.847037347</v>
      </c>
      <c r="P129">
        <v>93.560355970000003</v>
      </c>
      <c r="Q129">
        <v>4.8210998710000004</v>
      </c>
      <c r="R129">
        <v>28737000</v>
      </c>
      <c r="S129">
        <v>108171291</v>
      </c>
      <c r="T129">
        <v>13613.5</v>
      </c>
      <c r="U129">
        <v>578.6</v>
      </c>
      <c r="W129">
        <v>16842879</v>
      </c>
      <c r="X129">
        <v>26250000</v>
      </c>
      <c r="Y129">
        <v>1248.08</v>
      </c>
      <c r="Z129">
        <v>568.65</v>
      </c>
      <c r="AA129">
        <v>295.64999999999998</v>
      </c>
      <c r="AB129">
        <v>368.5</v>
      </c>
      <c r="AC129">
        <v>89.98</v>
      </c>
      <c r="AD129">
        <v>2570.86</v>
      </c>
      <c r="AE129">
        <v>24953623</v>
      </c>
      <c r="AF129">
        <v>11603328</v>
      </c>
      <c r="AG129">
        <v>5603393</v>
      </c>
      <c r="AH129">
        <v>1179332</v>
      </c>
      <c r="AI129">
        <v>8096151</v>
      </c>
      <c r="AJ129">
        <v>51435827</v>
      </c>
      <c r="AK129">
        <v>218</v>
      </c>
      <c r="AL129">
        <v>869</v>
      </c>
      <c r="AM129">
        <v>21</v>
      </c>
      <c r="AN129">
        <v>7362</v>
      </c>
      <c r="AO129">
        <v>310</v>
      </c>
      <c r="AP129">
        <v>8780</v>
      </c>
      <c r="AQ129">
        <v>3339153</v>
      </c>
      <c r="AR129">
        <v>14082160</v>
      </c>
      <c r="AS129">
        <v>237853</v>
      </c>
      <c r="AT129">
        <v>73097273</v>
      </c>
      <c r="AU129">
        <v>4979919</v>
      </c>
      <c r="AV129">
        <v>95736358</v>
      </c>
      <c r="AW129">
        <v>9.07</v>
      </c>
      <c r="AX129">
        <v>9.26</v>
      </c>
      <c r="AY129">
        <v>8.6</v>
      </c>
      <c r="AZ129">
        <v>1.45</v>
      </c>
      <c r="BA129">
        <v>9.08</v>
      </c>
      <c r="BB129">
        <v>6.95</v>
      </c>
      <c r="BC129">
        <v>7.35</v>
      </c>
      <c r="BD129">
        <v>5.14</v>
      </c>
      <c r="BE129">
        <v>4.5</v>
      </c>
      <c r="BF129">
        <v>4.95</v>
      </c>
      <c r="BG129">
        <v>0.48549999999999999</v>
      </c>
      <c r="BH129">
        <v>0.22120000000000001</v>
      </c>
      <c r="BI129">
        <v>0.115</v>
      </c>
      <c r="BJ129">
        <v>0.14330000000000001</v>
      </c>
      <c r="BK129">
        <v>2.4799999999999999E-2</v>
      </c>
      <c r="BL129">
        <v>9.9000000000000005E-2</v>
      </c>
      <c r="BM129">
        <v>2.3999999999999998E-3</v>
      </c>
      <c r="BN129">
        <v>0.83850000000000002</v>
      </c>
      <c r="BO129">
        <v>-2.39</v>
      </c>
      <c r="BP129">
        <v>0.19</v>
      </c>
      <c r="BQ129">
        <v>-0.47</v>
      </c>
      <c r="BR129">
        <v>-7.62</v>
      </c>
      <c r="BS129">
        <v>16842879</v>
      </c>
      <c r="BT129">
        <v>2022635.23</v>
      </c>
      <c r="BU129">
        <v>13.96</v>
      </c>
      <c r="BV129">
        <v>1327130.53</v>
      </c>
      <c r="BW129">
        <v>14.24</v>
      </c>
      <c r="BX129">
        <v>186078.74650000001</v>
      </c>
      <c r="BY129">
        <v>4.8281763340000001</v>
      </c>
      <c r="BZ129" s="5">
        <v>1130782.73</v>
      </c>
      <c r="CA129" s="5">
        <v>6.96</v>
      </c>
      <c r="CB129" s="5">
        <v>677681.71</v>
      </c>
      <c r="CC129" s="5">
        <v>6.37</v>
      </c>
    </row>
    <row r="130" spans="1:81" x14ac:dyDescent="0.2">
      <c r="A130" s="2">
        <v>42248</v>
      </c>
      <c r="B130">
        <v>2015</v>
      </c>
      <c r="C130">
        <v>9</v>
      </c>
      <c r="E130">
        <v>7.57</v>
      </c>
      <c r="F130">
        <v>17</v>
      </c>
      <c r="G130">
        <v>22.89</v>
      </c>
      <c r="J130">
        <v>3.8936999999999999</v>
      </c>
      <c r="K130">
        <v>1.3266</v>
      </c>
      <c r="L130">
        <v>1.1229</v>
      </c>
      <c r="M130">
        <v>120.1476</v>
      </c>
      <c r="N130">
        <v>6.3676000000000004</v>
      </c>
      <c r="O130">
        <v>0.84644956999999998</v>
      </c>
      <c r="P130">
        <v>90.568068749999995</v>
      </c>
      <c r="Q130">
        <v>4.799939695</v>
      </c>
      <c r="R130">
        <v>24591033</v>
      </c>
      <c r="S130">
        <v>95749186</v>
      </c>
      <c r="T130">
        <v>11732.92</v>
      </c>
      <c r="U130">
        <v>578.6</v>
      </c>
      <c r="W130">
        <v>7917186.7999999998</v>
      </c>
      <c r="X130">
        <v>26250000</v>
      </c>
      <c r="Y130">
        <v>929.49</v>
      </c>
      <c r="Z130">
        <v>728.26</v>
      </c>
      <c r="AA130">
        <v>285.63</v>
      </c>
      <c r="AB130">
        <v>227.63</v>
      </c>
      <c r="AC130">
        <v>109.95</v>
      </c>
      <c r="AD130">
        <v>2280.96</v>
      </c>
      <c r="AE130">
        <v>17596800</v>
      </c>
      <c r="AF130">
        <v>14458109</v>
      </c>
      <c r="AG130">
        <v>5313132</v>
      </c>
      <c r="AH130">
        <v>1737839</v>
      </c>
      <c r="AI130">
        <v>5098454</v>
      </c>
      <c r="AJ130">
        <v>44204334</v>
      </c>
      <c r="AK130">
        <v>384</v>
      </c>
      <c r="AL130">
        <v>708</v>
      </c>
      <c r="AM130">
        <v>18</v>
      </c>
      <c r="AN130">
        <v>7057</v>
      </c>
      <c r="AO130">
        <v>297</v>
      </c>
      <c r="AP130">
        <v>8464</v>
      </c>
      <c r="AQ130">
        <v>5782176</v>
      </c>
      <c r="AR130">
        <v>11368714</v>
      </c>
      <c r="AS130">
        <v>303846</v>
      </c>
      <c r="AT130">
        <v>73990232</v>
      </c>
      <c r="AU130">
        <v>4150574</v>
      </c>
      <c r="AV130">
        <v>95595542</v>
      </c>
      <c r="AW130">
        <v>8.59</v>
      </c>
      <c r="AX130">
        <v>9.01</v>
      </c>
      <c r="AY130">
        <v>8.44</v>
      </c>
      <c r="AZ130">
        <v>3.46</v>
      </c>
      <c r="BA130">
        <v>8.7899999999999991</v>
      </c>
      <c r="BB130">
        <v>6.83</v>
      </c>
      <c r="BC130">
        <v>7.28</v>
      </c>
      <c r="BD130">
        <v>7.66</v>
      </c>
      <c r="BE130">
        <v>4.76</v>
      </c>
      <c r="BF130">
        <v>5.12</v>
      </c>
      <c r="BG130">
        <v>0.40749999999999997</v>
      </c>
      <c r="BH130">
        <v>0.31929999999999997</v>
      </c>
      <c r="BI130">
        <v>0.12520000000000001</v>
      </c>
      <c r="BJ130">
        <v>9.98E-2</v>
      </c>
      <c r="BK130">
        <v>4.5400000000000003E-2</v>
      </c>
      <c r="BL130">
        <v>8.3599999999999994E-2</v>
      </c>
      <c r="BM130">
        <v>2.0999999999999999E-3</v>
      </c>
      <c r="BN130">
        <v>0.83379999999999999</v>
      </c>
      <c r="BO130">
        <v>-1.72</v>
      </c>
      <c r="BP130">
        <v>0.42</v>
      </c>
      <c r="BQ130">
        <v>-0.15</v>
      </c>
      <c r="BR130">
        <v>-5.12</v>
      </c>
      <c r="BS130">
        <v>7917186.7999999998</v>
      </c>
      <c r="BT130">
        <v>2405174.2799999998</v>
      </c>
      <c r="BU130">
        <v>14.51</v>
      </c>
      <c r="BV130">
        <v>17158.560000000001</v>
      </c>
      <c r="BW130">
        <v>7.38</v>
      </c>
      <c r="BX130">
        <v>69800.473819999999</v>
      </c>
      <c r="BY130">
        <v>5.3242475249999996</v>
      </c>
      <c r="BZ130" s="5">
        <v>743582.34</v>
      </c>
      <c r="CA130" s="5">
        <v>7.21</v>
      </c>
      <c r="CB130" s="5">
        <v>604788</v>
      </c>
      <c r="CC130" s="5">
        <v>7.41</v>
      </c>
    </row>
    <row r="131" spans="1:81" x14ac:dyDescent="0.2">
      <c r="A131" s="2">
        <v>42278</v>
      </c>
      <c r="B131">
        <v>2015</v>
      </c>
      <c r="C131">
        <v>10</v>
      </c>
      <c r="E131">
        <v>7.63</v>
      </c>
      <c r="F131">
        <v>17</v>
      </c>
      <c r="G131">
        <v>23.69</v>
      </c>
      <c r="J131">
        <v>4.0357000000000003</v>
      </c>
      <c r="K131">
        <v>1.3071999999999999</v>
      </c>
      <c r="L131">
        <v>1.1228</v>
      </c>
      <c r="M131">
        <v>120.04810000000001</v>
      </c>
      <c r="N131">
        <v>6.3505000000000003</v>
      </c>
      <c r="O131">
        <v>0.85893512900000002</v>
      </c>
      <c r="P131">
        <v>91.836061810000004</v>
      </c>
      <c r="Q131">
        <v>4.8580936350000004</v>
      </c>
      <c r="R131">
        <v>21909689</v>
      </c>
      <c r="S131">
        <v>88420357</v>
      </c>
      <c r="T131">
        <v>11225.08</v>
      </c>
      <c r="U131">
        <v>1287</v>
      </c>
      <c r="W131">
        <v>3400000</v>
      </c>
      <c r="X131">
        <v>26250000</v>
      </c>
      <c r="Y131">
        <v>696.67</v>
      </c>
      <c r="Z131">
        <v>524.41999999999996</v>
      </c>
      <c r="AA131">
        <v>235.45</v>
      </c>
      <c r="AB131">
        <v>178.86</v>
      </c>
      <c r="AC131">
        <v>88.21</v>
      </c>
      <c r="AD131">
        <v>1723.61</v>
      </c>
      <c r="AE131">
        <v>12355283</v>
      </c>
      <c r="AF131">
        <v>10664071</v>
      </c>
      <c r="AG131">
        <v>4449994</v>
      </c>
      <c r="AH131">
        <v>1526389</v>
      </c>
      <c r="AI131">
        <v>4030581</v>
      </c>
      <c r="AJ131">
        <v>33026318</v>
      </c>
      <c r="AK131">
        <v>304</v>
      </c>
      <c r="AL131">
        <v>583</v>
      </c>
      <c r="AM131">
        <v>32</v>
      </c>
      <c r="AN131">
        <v>6648</v>
      </c>
      <c r="AO131">
        <v>392</v>
      </c>
      <c r="AP131">
        <v>7959</v>
      </c>
      <c r="AQ131">
        <v>4950839</v>
      </c>
      <c r="AR131">
        <v>9576392</v>
      </c>
      <c r="AS131">
        <v>350838</v>
      </c>
      <c r="AT131">
        <v>71604129</v>
      </c>
      <c r="AU131">
        <v>5787053</v>
      </c>
      <c r="AV131">
        <v>92269251</v>
      </c>
      <c r="AW131">
        <v>8.0399999999999991</v>
      </c>
      <c r="AX131">
        <v>9.2200000000000006</v>
      </c>
      <c r="AY131">
        <v>8.57</v>
      </c>
      <c r="AZ131">
        <v>3.87</v>
      </c>
      <c r="BA131">
        <v>8.69</v>
      </c>
      <c r="BB131">
        <v>7.39</v>
      </c>
      <c r="BC131">
        <v>7.45</v>
      </c>
      <c r="BD131">
        <v>4.97</v>
      </c>
      <c r="BE131">
        <v>4.8899999999999997</v>
      </c>
      <c r="BF131">
        <v>5.26</v>
      </c>
      <c r="BG131">
        <v>0.4042</v>
      </c>
      <c r="BH131">
        <v>0.30430000000000001</v>
      </c>
      <c r="BI131">
        <v>0.1366</v>
      </c>
      <c r="BJ131">
        <v>0.1038</v>
      </c>
      <c r="BK131">
        <v>3.8199999999999998E-2</v>
      </c>
      <c r="BL131">
        <v>7.3300000000000004E-2</v>
      </c>
      <c r="BM131">
        <v>4.0000000000000001E-3</v>
      </c>
      <c r="BN131">
        <v>0.83530000000000004</v>
      </c>
      <c r="BO131">
        <v>-1.27</v>
      </c>
      <c r="BP131">
        <v>1.18</v>
      </c>
      <c r="BQ131">
        <v>0.53</v>
      </c>
      <c r="BR131">
        <v>-4.17</v>
      </c>
      <c r="BS131">
        <v>3400000</v>
      </c>
      <c r="BT131">
        <v>2099633.79</v>
      </c>
      <c r="BU131">
        <v>14.52</v>
      </c>
      <c r="BV131">
        <v>389236.68</v>
      </c>
      <c r="BW131">
        <v>12.39</v>
      </c>
      <c r="BX131">
        <v>35326.830880000001</v>
      </c>
      <c r="BY131">
        <v>1.7904521410000001</v>
      </c>
      <c r="BZ131" s="5">
        <v>891830.1</v>
      </c>
      <c r="CA131" s="5">
        <v>7.59</v>
      </c>
      <c r="CB131" s="5">
        <v>572183.81000000006</v>
      </c>
      <c r="CC131" s="5">
        <v>6.98</v>
      </c>
    </row>
    <row r="132" spans="1:81" x14ac:dyDescent="0.2">
      <c r="A132" s="2">
        <v>42309</v>
      </c>
      <c r="B132">
        <v>2015</v>
      </c>
      <c r="C132">
        <v>11</v>
      </c>
      <c r="E132">
        <v>6.93</v>
      </c>
      <c r="F132">
        <v>17</v>
      </c>
      <c r="G132">
        <v>25.31</v>
      </c>
      <c r="J132">
        <v>4.0787000000000004</v>
      </c>
      <c r="K132">
        <v>1.3279000000000001</v>
      </c>
      <c r="L132">
        <v>1.0727</v>
      </c>
      <c r="M132">
        <v>122.64319999999999</v>
      </c>
      <c r="N132">
        <v>6.3639999999999999</v>
      </c>
      <c r="O132">
        <v>0.80781685400000003</v>
      </c>
      <c r="P132">
        <v>92.358761950000002</v>
      </c>
      <c r="Q132">
        <v>4.792529558</v>
      </c>
      <c r="R132">
        <v>15470582</v>
      </c>
      <c r="S132">
        <v>63099790</v>
      </c>
      <c r="T132">
        <v>10442.25</v>
      </c>
      <c r="U132">
        <v>3424.9</v>
      </c>
      <c r="W132">
        <v>4843750</v>
      </c>
      <c r="X132">
        <v>26250000</v>
      </c>
      <c r="Y132">
        <v>1664.23</v>
      </c>
      <c r="Z132">
        <v>534.23</v>
      </c>
      <c r="AA132">
        <v>237.71</v>
      </c>
      <c r="AB132">
        <v>287.39</v>
      </c>
      <c r="AC132">
        <v>106.58</v>
      </c>
      <c r="AD132">
        <v>2830.14</v>
      </c>
      <c r="AE132">
        <v>28556960</v>
      </c>
      <c r="AF132">
        <v>10840960</v>
      </c>
      <c r="AG132">
        <v>4468664</v>
      </c>
      <c r="AH132">
        <v>1809773</v>
      </c>
      <c r="AI132">
        <v>6073398</v>
      </c>
      <c r="AJ132">
        <v>51749755</v>
      </c>
      <c r="AK132">
        <v>297</v>
      </c>
      <c r="AL132">
        <v>687</v>
      </c>
      <c r="AM132">
        <v>18</v>
      </c>
      <c r="AN132">
        <v>4847</v>
      </c>
      <c r="AO132">
        <v>354</v>
      </c>
      <c r="AP132">
        <v>6203</v>
      </c>
      <c r="AQ132">
        <v>4688008</v>
      </c>
      <c r="AR132">
        <v>11143790</v>
      </c>
      <c r="AS132">
        <v>272453</v>
      </c>
      <c r="AT132">
        <v>52954304</v>
      </c>
      <c r="AU132">
        <v>5281271</v>
      </c>
      <c r="AV132">
        <v>74339826</v>
      </c>
      <c r="AW132">
        <v>7.78</v>
      </c>
      <c r="AX132">
        <v>9.1999999999999993</v>
      </c>
      <c r="AY132">
        <v>8.5299999999999994</v>
      </c>
      <c r="AZ132">
        <v>2.86</v>
      </c>
      <c r="BA132">
        <v>8.2899999999999991</v>
      </c>
      <c r="BB132">
        <v>7.16</v>
      </c>
      <c r="BC132">
        <v>7.36</v>
      </c>
      <c r="BD132">
        <v>6.87</v>
      </c>
      <c r="BE132">
        <v>4.96</v>
      </c>
      <c r="BF132">
        <v>5.44</v>
      </c>
      <c r="BG132">
        <v>0.58799999999999997</v>
      </c>
      <c r="BH132">
        <v>0.1888</v>
      </c>
      <c r="BI132">
        <v>8.4000000000000005E-2</v>
      </c>
      <c r="BJ132">
        <v>0.10150000000000001</v>
      </c>
      <c r="BK132">
        <v>4.7899999999999998E-2</v>
      </c>
      <c r="BL132">
        <v>0.1108</v>
      </c>
      <c r="BM132">
        <v>2.8999999999999998E-3</v>
      </c>
      <c r="BN132">
        <v>0.78139999999999998</v>
      </c>
      <c r="BO132">
        <v>-0.91</v>
      </c>
      <c r="BP132">
        <v>1.42</v>
      </c>
      <c r="BQ132">
        <v>0.74</v>
      </c>
      <c r="BR132">
        <v>-4.93</v>
      </c>
      <c r="BS132">
        <v>4843750</v>
      </c>
      <c r="BT132">
        <v>2041919.04</v>
      </c>
      <c r="BU132">
        <v>15.17</v>
      </c>
      <c r="BV132">
        <v>12718.45</v>
      </c>
      <c r="BW132">
        <v>14.37</v>
      </c>
      <c r="BX132">
        <v>197337.7408</v>
      </c>
      <c r="BY132">
        <v>4.9368154110000004</v>
      </c>
      <c r="BZ132" s="5">
        <v>914440.73</v>
      </c>
      <c r="CA132" s="5">
        <v>6.26</v>
      </c>
      <c r="CB132" s="5">
        <v>430642.52</v>
      </c>
      <c r="CC132" s="5">
        <v>7.24</v>
      </c>
    </row>
    <row r="133" spans="1:81" x14ac:dyDescent="0.2">
      <c r="A133" s="2">
        <v>42339</v>
      </c>
      <c r="B133">
        <v>2015</v>
      </c>
      <c r="C133">
        <v>12</v>
      </c>
      <c r="E133">
        <v>6.33</v>
      </c>
      <c r="F133">
        <v>16.75</v>
      </c>
      <c r="G133">
        <v>26.25</v>
      </c>
      <c r="J133">
        <v>4.0102000000000002</v>
      </c>
      <c r="K133">
        <v>1.3713</v>
      </c>
      <c r="L133">
        <v>1.0889</v>
      </c>
      <c r="M133">
        <v>121.63500000000001</v>
      </c>
      <c r="N133">
        <v>6.4490999999999996</v>
      </c>
      <c r="O133">
        <v>0.79406402700000001</v>
      </c>
      <c r="P133">
        <v>88.700503170000005</v>
      </c>
      <c r="Q133">
        <v>4.7029096480000003</v>
      </c>
      <c r="R133">
        <v>7304151</v>
      </c>
      <c r="S133">
        <v>29291455</v>
      </c>
      <c r="T133">
        <v>27624.21</v>
      </c>
      <c r="U133">
        <v>24311.1</v>
      </c>
      <c r="W133">
        <v>19187500</v>
      </c>
      <c r="X133">
        <v>26250000</v>
      </c>
      <c r="Y133">
        <v>6196.19</v>
      </c>
      <c r="Z133">
        <v>842.56</v>
      </c>
      <c r="AA133">
        <v>1045.99</v>
      </c>
      <c r="AB133">
        <v>464.97</v>
      </c>
      <c r="AC133">
        <v>125.14</v>
      </c>
      <c r="AD133">
        <v>8674.85</v>
      </c>
      <c r="AE133">
        <v>111051281</v>
      </c>
      <c r="AF133">
        <v>15970924</v>
      </c>
      <c r="AG133">
        <v>18975228</v>
      </c>
      <c r="AH133">
        <v>1944769</v>
      </c>
      <c r="AI133">
        <v>10180193</v>
      </c>
      <c r="AJ133">
        <v>158122395</v>
      </c>
      <c r="AK133">
        <v>313</v>
      </c>
      <c r="AL133">
        <v>2056</v>
      </c>
      <c r="AM133">
        <v>37</v>
      </c>
      <c r="AN133">
        <v>1826</v>
      </c>
      <c r="AO133">
        <v>448</v>
      </c>
      <c r="AP133">
        <v>4680</v>
      </c>
      <c r="AQ133">
        <v>5104884</v>
      </c>
      <c r="AR133">
        <v>32922397</v>
      </c>
      <c r="AS133">
        <v>565472</v>
      </c>
      <c r="AT133">
        <v>20652484</v>
      </c>
      <c r="AU133">
        <v>6634497</v>
      </c>
      <c r="AV133">
        <v>65879734</v>
      </c>
      <c r="AW133">
        <v>8.1300000000000008</v>
      </c>
      <c r="AX133">
        <v>8.6</v>
      </c>
      <c r="AY133">
        <v>8.23</v>
      </c>
      <c r="AZ133">
        <v>1.9</v>
      </c>
      <c r="BA133">
        <v>8.27</v>
      </c>
      <c r="BB133">
        <v>7.4</v>
      </c>
      <c r="BC133">
        <v>7.26</v>
      </c>
      <c r="BD133">
        <v>6.93</v>
      </c>
      <c r="BE133">
        <v>5.13</v>
      </c>
      <c r="BF133">
        <v>6.39</v>
      </c>
      <c r="BG133">
        <v>0.71430000000000005</v>
      </c>
      <c r="BH133">
        <v>9.7100000000000006E-2</v>
      </c>
      <c r="BI133">
        <v>0.1206</v>
      </c>
      <c r="BJ133">
        <v>5.3600000000000002E-2</v>
      </c>
      <c r="BK133">
        <v>6.6900000000000001E-2</v>
      </c>
      <c r="BL133">
        <v>0.43930000000000002</v>
      </c>
      <c r="BM133">
        <v>7.9000000000000008E-3</v>
      </c>
      <c r="BN133">
        <v>0.39019999999999999</v>
      </c>
      <c r="BO133">
        <v>-0.8</v>
      </c>
      <c r="BP133">
        <v>0.47</v>
      </c>
      <c r="BQ133">
        <v>0.1</v>
      </c>
      <c r="BR133">
        <v>-6.23</v>
      </c>
      <c r="BS133">
        <v>19187500</v>
      </c>
      <c r="BT133">
        <v>2382953.92</v>
      </c>
      <c r="BU133">
        <v>15.02</v>
      </c>
      <c r="BV133">
        <v>304698.33</v>
      </c>
      <c r="BW133">
        <v>14.08</v>
      </c>
      <c r="BX133">
        <v>151503.69099999999</v>
      </c>
      <c r="BY133">
        <v>7.5458557629999996</v>
      </c>
      <c r="BZ133" s="5">
        <v>592627.30000000005</v>
      </c>
      <c r="CA133" s="5">
        <v>4.66</v>
      </c>
      <c r="CB133" s="5">
        <v>19848.23</v>
      </c>
      <c r="CC133" s="5">
        <v>13.4</v>
      </c>
    </row>
    <row r="134" spans="1:81" x14ac:dyDescent="0.2">
      <c r="A134" s="2">
        <v>42370</v>
      </c>
      <c r="B134">
        <v>2016</v>
      </c>
      <c r="C134">
        <v>1</v>
      </c>
      <c r="E134">
        <v>6.29</v>
      </c>
      <c r="F134">
        <v>16.34</v>
      </c>
      <c r="G134">
        <v>26.5</v>
      </c>
      <c r="J134">
        <v>4.3634000000000004</v>
      </c>
      <c r="K134">
        <v>1.4208000000000001</v>
      </c>
      <c r="L134">
        <v>1.0854999999999999</v>
      </c>
      <c r="M134">
        <v>118.22580000000001</v>
      </c>
      <c r="N134">
        <v>6.5726000000000004</v>
      </c>
      <c r="O134">
        <v>0.76400619400000003</v>
      </c>
      <c r="P134">
        <v>83.210726350000002</v>
      </c>
      <c r="Q134">
        <v>4.6259853599999996</v>
      </c>
      <c r="R134">
        <v>2592468</v>
      </c>
      <c r="S134">
        <v>11312054</v>
      </c>
      <c r="T134">
        <v>11404.88</v>
      </c>
      <c r="U134">
        <v>10228.950000000001</v>
      </c>
      <c r="W134">
        <v>15625000</v>
      </c>
      <c r="X134">
        <v>26250000</v>
      </c>
      <c r="Y134">
        <v>2958.15</v>
      </c>
      <c r="Z134">
        <v>1327.12</v>
      </c>
      <c r="AA134">
        <v>279.83999999999997</v>
      </c>
      <c r="AB134">
        <v>460.66</v>
      </c>
      <c r="AC134">
        <v>70.45</v>
      </c>
      <c r="AD134">
        <v>5096.22</v>
      </c>
      <c r="AE134">
        <v>55977887</v>
      </c>
      <c r="AF134">
        <v>25351933</v>
      </c>
      <c r="AG134">
        <v>5132115</v>
      </c>
      <c r="AH134">
        <v>1041193</v>
      </c>
      <c r="AI134">
        <v>9865808</v>
      </c>
      <c r="AJ134">
        <v>97368936</v>
      </c>
      <c r="AK134">
        <v>350</v>
      </c>
      <c r="AL134">
        <v>539</v>
      </c>
      <c r="AM134">
        <v>27</v>
      </c>
      <c r="AN134">
        <v>390</v>
      </c>
      <c r="AO134">
        <v>384</v>
      </c>
      <c r="AP134">
        <v>1690</v>
      </c>
      <c r="AQ134">
        <v>5748274</v>
      </c>
      <c r="AR134">
        <v>8933900</v>
      </c>
      <c r="AS134">
        <v>345862</v>
      </c>
      <c r="AT134">
        <v>4302517</v>
      </c>
      <c r="AU134">
        <v>5758605</v>
      </c>
      <c r="AV134">
        <v>25089158</v>
      </c>
      <c r="AW134">
        <v>8.58</v>
      </c>
      <c r="AX134">
        <v>8.66</v>
      </c>
      <c r="AY134">
        <v>8.32</v>
      </c>
      <c r="AZ134">
        <v>1.03</v>
      </c>
      <c r="BA134">
        <v>8.67</v>
      </c>
      <c r="BB134">
        <v>7.45</v>
      </c>
      <c r="BC134">
        <v>7.52</v>
      </c>
      <c r="BD134">
        <v>5.81</v>
      </c>
      <c r="BE134">
        <v>5</v>
      </c>
      <c r="BF134">
        <v>6.73</v>
      </c>
      <c r="BG134">
        <v>0.58050000000000002</v>
      </c>
      <c r="BH134">
        <v>0.26040000000000002</v>
      </c>
      <c r="BI134">
        <v>5.4899999999999997E-2</v>
      </c>
      <c r="BJ134">
        <v>9.0399999999999994E-2</v>
      </c>
      <c r="BK134">
        <v>0.20710000000000001</v>
      </c>
      <c r="BL134">
        <v>0.31890000000000002</v>
      </c>
      <c r="BM134">
        <v>1.6E-2</v>
      </c>
      <c r="BN134">
        <v>0.23080000000000001</v>
      </c>
      <c r="BO134">
        <v>-1.04</v>
      </c>
      <c r="BP134">
        <v>0.08</v>
      </c>
      <c r="BQ134">
        <v>-0.26</v>
      </c>
      <c r="BR134">
        <v>-7.56</v>
      </c>
      <c r="BS134">
        <v>15625000</v>
      </c>
      <c r="BT134">
        <v>1453730.84</v>
      </c>
      <c r="BU134">
        <v>14.49</v>
      </c>
      <c r="BV134">
        <v>194831.09</v>
      </c>
      <c r="BW134">
        <v>9.7899999999999991</v>
      </c>
      <c r="BX134">
        <v>26276.86578</v>
      </c>
      <c r="BY134">
        <v>9.0349435880000009</v>
      </c>
      <c r="BZ134" s="5">
        <v>237499.78</v>
      </c>
      <c r="CA134" s="5">
        <v>7.19</v>
      </c>
      <c r="CB134" s="5">
        <v>237517.42</v>
      </c>
      <c r="CC134" s="5">
        <v>7.21</v>
      </c>
    </row>
    <row r="135" spans="1:81" x14ac:dyDescent="0.2">
      <c r="A135" s="2">
        <v>42401</v>
      </c>
      <c r="B135">
        <v>2016</v>
      </c>
      <c r="C135">
        <v>2</v>
      </c>
      <c r="E135">
        <v>8.0399999999999991</v>
      </c>
      <c r="F135">
        <v>15.81</v>
      </c>
      <c r="G135">
        <v>27.5</v>
      </c>
      <c r="J135">
        <v>6.1163999999999996</v>
      </c>
      <c r="K135">
        <v>1.3796999999999999</v>
      </c>
      <c r="L135">
        <v>1.1092</v>
      </c>
      <c r="M135">
        <v>114.6155</v>
      </c>
      <c r="N135">
        <v>6.5500999999999996</v>
      </c>
      <c r="O135">
        <v>0.80394288599999997</v>
      </c>
      <c r="P135">
        <v>83.072769440000002</v>
      </c>
      <c r="Q135">
        <v>4.747481337</v>
      </c>
      <c r="R135">
        <v>1080643</v>
      </c>
      <c r="S135">
        <v>6609600</v>
      </c>
      <c r="T135">
        <v>651.27</v>
      </c>
      <c r="U135">
        <v>161.1</v>
      </c>
      <c r="W135">
        <v>11500000</v>
      </c>
      <c r="X135">
        <v>26250000</v>
      </c>
      <c r="Y135">
        <v>2842.63</v>
      </c>
      <c r="Z135">
        <v>888.47</v>
      </c>
      <c r="AA135">
        <v>283.60000000000002</v>
      </c>
      <c r="AB135">
        <v>372.38</v>
      </c>
      <c r="AC135">
        <v>72.53</v>
      </c>
      <c r="AD135">
        <v>4459.6099999999997</v>
      </c>
      <c r="AE135">
        <v>57534293</v>
      </c>
      <c r="AF135">
        <v>17951719</v>
      </c>
      <c r="AG135">
        <v>5617080</v>
      </c>
      <c r="AH135">
        <v>1281282</v>
      </c>
      <c r="AI135">
        <v>7722757</v>
      </c>
      <c r="AJ135">
        <v>90107131</v>
      </c>
      <c r="AK135">
        <v>352</v>
      </c>
      <c r="AL135">
        <v>565</v>
      </c>
      <c r="AM135">
        <v>20</v>
      </c>
      <c r="AN135">
        <v>57</v>
      </c>
      <c r="AO135">
        <v>270</v>
      </c>
      <c r="AP135">
        <v>1264</v>
      </c>
      <c r="AQ135">
        <v>5626194</v>
      </c>
      <c r="AR135">
        <v>9318395</v>
      </c>
      <c r="AS135">
        <v>221124</v>
      </c>
      <c r="AT135">
        <v>867476</v>
      </c>
      <c r="AU135">
        <v>3786547</v>
      </c>
      <c r="AV135">
        <v>19819736</v>
      </c>
      <c r="AW135">
        <v>9.18</v>
      </c>
      <c r="AX135">
        <v>9.16</v>
      </c>
      <c r="AY135">
        <v>8.98</v>
      </c>
      <c r="AZ135">
        <v>1.56</v>
      </c>
      <c r="BA135">
        <v>9.16</v>
      </c>
      <c r="BB135">
        <v>7.25</v>
      </c>
      <c r="BC135">
        <v>7.48</v>
      </c>
      <c r="BD135">
        <v>5.0199999999999996</v>
      </c>
      <c r="BE135">
        <v>6.9</v>
      </c>
      <c r="BF135">
        <v>7.11</v>
      </c>
      <c r="BG135">
        <v>0.63739999999999997</v>
      </c>
      <c r="BH135">
        <v>0.19919999999999999</v>
      </c>
      <c r="BI135">
        <v>6.3600000000000004E-2</v>
      </c>
      <c r="BJ135">
        <v>8.3500000000000005E-2</v>
      </c>
      <c r="BK135">
        <v>0.27850000000000003</v>
      </c>
      <c r="BL135">
        <v>0.44700000000000001</v>
      </c>
      <c r="BM135">
        <v>1.5800000000000002E-2</v>
      </c>
      <c r="BN135">
        <v>4.5100000000000001E-2</v>
      </c>
      <c r="BO135">
        <v>0.25</v>
      </c>
      <c r="BP135">
        <v>-0.02</v>
      </c>
      <c r="BQ135">
        <v>-0.2</v>
      </c>
      <c r="BR135">
        <v>-7.62</v>
      </c>
      <c r="BS135">
        <v>11500000</v>
      </c>
      <c r="BT135">
        <v>600679.57999999996</v>
      </c>
      <c r="BU135">
        <v>11.76</v>
      </c>
      <c r="BV135">
        <v>54264.52</v>
      </c>
      <c r="BW135">
        <v>14.72</v>
      </c>
      <c r="BX135">
        <v>42496.255120000002</v>
      </c>
      <c r="BY135">
        <v>5.8332198750000002</v>
      </c>
      <c r="BZ135" s="5">
        <v>113820.35</v>
      </c>
      <c r="CA135" s="5">
        <v>6.24</v>
      </c>
      <c r="CB135" s="5">
        <v>20326.64</v>
      </c>
      <c r="CC135" s="5">
        <v>3.12</v>
      </c>
    </row>
    <row r="136" spans="1:81" x14ac:dyDescent="0.2">
      <c r="A136" s="2">
        <v>42430</v>
      </c>
      <c r="B136">
        <v>2016</v>
      </c>
      <c r="C136">
        <v>3</v>
      </c>
      <c r="E136">
        <v>7.22</v>
      </c>
      <c r="F136">
        <v>15.2</v>
      </c>
      <c r="G136">
        <v>27.75</v>
      </c>
      <c r="J136">
        <v>5.4306000000000001</v>
      </c>
      <c r="K136">
        <v>1.3226</v>
      </c>
      <c r="L136">
        <v>1.1133999999999999</v>
      </c>
      <c r="M136">
        <v>112.93170000000001</v>
      </c>
      <c r="N136">
        <v>6.5026999999999999</v>
      </c>
      <c r="O136">
        <v>0.84182670500000001</v>
      </c>
      <c r="P136">
        <v>85.386133369999996</v>
      </c>
      <c r="Q136">
        <v>4.9166036589999997</v>
      </c>
      <c r="R136">
        <v>974705</v>
      </c>
      <c r="S136">
        <v>5293237</v>
      </c>
      <c r="T136">
        <v>603.22</v>
      </c>
      <c r="U136">
        <v>161.1</v>
      </c>
      <c r="W136">
        <v>6062500</v>
      </c>
      <c r="X136">
        <v>26250000</v>
      </c>
      <c r="Y136">
        <v>2554.84</v>
      </c>
      <c r="Z136">
        <v>514.39</v>
      </c>
      <c r="AA136">
        <v>208.36</v>
      </c>
      <c r="AB136">
        <v>291.68</v>
      </c>
      <c r="AC136">
        <v>56.45</v>
      </c>
      <c r="AD136">
        <v>3625.72</v>
      </c>
      <c r="AE136">
        <v>47117616</v>
      </c>
      <c r="AF136">
        <v>10367318</v>
      </c>
      <c r="AG136">
        <v>4192325</v>
      </c>
      <c r="AH136">
        <v>789557</v>
      </c>
      <c r="AI136">
        <v>6393388</v>
      </c>
      <c r="AJ136">
        <v>68860204</v>
      </c>
      <c r="AK136">
        <v>435</v>
      </c>
      <c r="AL136">
        <v>632</v>
      </c>
      <c r="AM136">
        <v>20</v>
      </c>
      <c r="AN136">
        <v>16</v>
      </c>
      <c r="AO136">
        <v>271</v>
      </c>
      <c r="AP136">
        <v>1374</v>
      </c>
      <c r="AQ136">
        <v>7312925</v>
      </c>
      <c r="AR136">
        <v>10403669</v>
      </c>
      <c r="AS136">
        <v>278890</v>
      </c>
      <c r="AT136">
        <v>177899</v>
      </c>
      <c r="AU136">
        <v>3752208</v>
      </c>
      <c r="AV136">
        <v>21925591</v>
      </c>
      <c r="AW136">
        <v>8.3699999999999992</v>
      </c>
      <c r="AX136">
        <v>9.14</v>
      </c>
      <c r="AY136">
        <v>9.1300000000000008</v>
      </c>
      <c r="AZ136">
        <v>1.23</v>
      </c>
      <c r="BA136">
        <v>8.61</v>
      </c>
      <c r="BB136">
        <v>7.63</v>
      </c>
      <c r="BC136">
        <v>7.47</v>
      </c>
      <c r="BD136">
        <v>6.33</v>
      </c>
      <c r="BE136">
        <v>5.04</v>
      </c>
      <c r="BF136">
        <v>7.24</v>
      </c>
      <c r="BG136">
        <v>0.7046</v>
      </c>
      <c r="BH136">
        <v>0.1419</v>
      </c>
      <c r="BI136">
        <v>5.7500000000000002E-2</v>
      </c>
      <c r="BJ136">
        <v>8.0399999999999999E-2</v>
      </c>
      <c r="BK136">
        <v>0.31659999999999999</v>
      </c>
      <c r="BL136">
        <v>0.46</v>
      </c>
      <c r="BM136">
        <v>1.46E-2</v>
      </c>
      <c r="BN136">
        <v>1.1599999999999999E-2</v>
      </c>
      <c r="BO136">
        <v>-1.28</v>
      </c>
      <c r="BP136">
        <v>0.77</v>
      </c>
      <c r="BQ136">
        <v>0.76</v>
      </c>
      <c r="BR136">
        <v>-7.14</v>
      </c>
      <c r="BS136">
        <v>6062500</v>
      </c>
      <c r="BT136">
        <v>319493.53000000003</v>
      </c>
      <c r="BU136">
        <v>13.44</v>
      </c>
      <c r="BV136">
        <v>2620464.2400000002</v>
      </c>
      <c r="BW136">
        <v>11.5</v>
      </c>
      <c r="BX136">
        <v>10000.15632</v>
      </c>
      <c r="BY136">
        <v>7.1815877370000001</v>
      </c>
      <c r="BZ136" s="5">
        <v>202073.67</v>
      </c>
      <c r="CA136" s="5">
        <v>10.09</v>
      </c>
      <c r="CB136" s="5">
        <v>0</v>
      </c>
      <c r="CC136" s="5">
        <v>0</v>
      </c>
    </row>
    <row r="137" spans="1:81" x14ac:dyDescent="0.2">
      <c r="A137" s="2">
        <v>42461</v>
      </c>
      <c r="B137">
        <v>2016</v>
      </c>
      <c r="C137">
        <v>4</v>
      </c>
      <c r="E137">
        <v>8.39</v>
      </c>
      <c r="F137">
        <v>14.59</v>
      </c>
      <c r="G137">
        <v>27.75</v>
      </c>
      <c r="I137">
        <v>5.46</v>
      </c>
      <c r="J137">
        <v>6.2968000000000002</v>
      </c>
      <c r="K137">
        <v>1.2818000000000001</v>
      </c>
      <c r="L137">
        <v>1.1346000000000001</v>
      </c>
      <c r="M137">
        <v>109.5519</v>
      </c>
      <c r="N137">
        <v>6.4753999999999996</v>
      </c>
      <c r="O137">
        <v>0.88516149200000005</v>
      </c>
      <c r="P137">
        <v>85.467233579999998</v>
      </c>
      <c r="Q137">
        <v>5.0518021529999997</v>
      </c>
      <c r="R137">
        <v>1737594</v>
      </c>
      <c r="S137">
        <v>10941229</v>
      </c>
      <c r="T137">
        <v>1920.93</v>
      </c>
      <c r="U137">
        <v>1132.77</v>
      </c>
      <c r="W137">
        <v>2593750</v>
      </c>
      <c r="X137">
        <v>26250000</v>
      </c>
      <c r="Y137">
        <v>2164.4</v>
      </c>
      <c r="Z137">
        <v>711.49</v>
      </c>
      <c r="AA137">
        <v>203.6</v>
      </c>
      <c r="AB137">
        <v>236.45</v>
      </c>
      <c r="AC137">
        <v>78.09</v>
      </c>
      <c r="AD137">
        <v>3394.03</v>
      </c>
      <c r="AE137">
        <v>42269600</v>
      </c>
      <c r="AF137">
        <v>13533939</v>
      </c>
      <c r="AG137">
        <v>3982210</v>
      </c>
      <c r="AH137">
        <v>1408231</v>
      </c>
      <c r="AI137">
        <v>5046562</v>
      </c>
      <c r="AJ137">
        <v>66240542</v>
      </c>
      <c r="AK137">
        <v>303</v>
      </c>
      <c r="AL137">
        <v>480</v>
      </c>
      <c r="AM137">
        <v>20</v>
      </c>
      <c r="AN137">
        <v>5</v>
      </c>
      <c r="AO137">
        <v>191</v>
      </c>
      <c r="AP137">
        <v>999</v>
      </c>
      <c r="AQ137">
        <v>4720300</v>
      </c>
      <c r="AR137">
        <v>7784732</v>
      </c>
      <c r="AS137">
        <v>285334</v>
      </c>
      <c r="AT137">
        <v>83792</v>
      </c>
      <c r="AU137">
        <v>2971447</v>
      </c>
      <c r="AV137">
        <v>15845605</v>
      </c>
      <c r="AW137">
        <v>8.86</v>
      </c>
      <c r="AX137">
        <v>8.6300000000000008</v>
      </c>
      <c r="AY137">
        <v>8.8699999999999992</v>
      </c>
      <c r="AZ137">
        <v>2.7</v>
      </c>
      <c r="BA137">
        <v>8.85</v>
      </c>
      <c r="BB137">
        <v>7.07</v>
      </c>
      <c r="BC137">
        <v>7.36</v>
      </c>
      <c r="BD137">
        <v>6.47</v>
      </c>
      <c r="BE137">
        <v>7.6</v>
      </c>
      <c r="BF137">
        <v>7.19</v>
      </c>
      <c r="BG137">
        <v>0.63770000000000004</v>
      </c>
      <c r="BH137">
        <v>0.20960000000000001</v>
      </c>
      <c r="BI137">
        <v>0.06</v>
      </c>
      <c r="BJ137">
        <v>6.9699999999999998E-2</v>
      </c>
      <c r="BK137">
        <v>0.30330000000000001</v>
      </c>
      <c r="BL137">
        <v>0.48049999999999998</v>
      </c>
      <c r="BM137">
        <v>0.02</v>
      </c>
      <c r="BN137">
        <v>5.0000000000000001E-3</v>
      </c>
      <c r="BO137">
        <v>0.69</v>
      </c>
      <c r="BP137">
        <v>-0.23</v>
      </c>
      <c r="BQ137">
        <v>0.01</v>
      </c>
      <c r="BR137">
        <v>-6.16</v>
      </c>
      <c r="BS137">
        <v>2593750</v>
      </c>
      <c r="BT137">
        <v>256985.94</v>
      </c>
      <c r="BU137">
        <v>13.65</v>
      </c>
      <c r="BV137">
        <v>53010.09</v>
      </c>
      <c r="BW137">
        <v>15.53</v>
      </c>
      <c r="BZ137" s="5">
        <v>182304.8</v>
      </c>
      <c r="CA137" s="5">
        <v>4.41</v>
      </c>
      <c r="CB137" s="5">
        <v>0</v>
      </c>
      <c r="CC137" s="5">
        <v>0</v>
      </c>
    </row>
    <row r="138" spans="1:81" x14ac:dyDescent="0.2">
      <c r="A138" s="2">
        <v>42491</v>
      </c>
      <c r="B138">
        <v>2016</v>
      </c>
      <c r="C138">
        <v>5</v>
      </c>
      <c r="E138">
        <v>6.14</v>
      </c>
      <c r="F138">
        <v>14.08</v>
      </c>
      <c r="G138">
        <v>27.97</v>
      </c>
      <c r="H138">
        <v>5.48</v>
      </c>
      <c r="I138">
        <v>5.85</v>
      </c>
      <c r="J138">
        <v>4.8710000000000004</v>
      </c>
      <c r="K138">
        <v>1.2945</v>
      </c>
      <c r="L138">
        <v>1.1312</v>
      </c>
      <c r="M138">
        <v>108.8481</v>
      </c>
      <c r="N138">
        <v>6.5259</v>
      </c>
      <c r="O138">
        <v>0.87385090799999998</v>
      </c>
      <c r="P138">
        <v>84.085052140000002</v>
      </c>
      <c r="Q138">
        <v>5.0412514479999997</v>
      </c>
      <c r="R138">
        <v>3278183</v>
      </c>
      <c r="S138">
        <v>15968106</v>
      </c>
      <c r="T138">
        <v>28877.41</v>
      </c>
      <c r="U138">
        <v>27390.45</v>
      </c>
      <c r="W138">
        <v>4516667.5</v>
      </c>
      <c r="X138">
        <v>26250000</v>
      </c>
      <c r="Y138">
        <v>3893.49</v>
      </c>
      <c r="Z138">
        <v>1121.8499999999999</v>
      </c>
      <c r="AA138">
        <v>385.61</v>
      </c>
      <c r="AB138">
        <v>261.05</v>
      </c>
      <c r="AC138">
        <v>65.459999999999994</v>
      </c>
      <c r="AD138">
        <v>5727.46</v>
      </c>
      <c r="AE138">
        <v>67576624</v>
      </c>
      <c r="AF138">
        <v>21628322</v>
      </c>
      <c r="AG138">
        <v>6718137</v>
      </c>
      <c r="AH138">
        <v>1055390</v>
      </c>
      <c r="AI138">
        <v>5619413</v>
      </c>
      <c r="AJ138">
        <v>102597886</v>
      </c>
      <c r="AK138">
        <v>187</v>
      </c>
      <c r="AL138">
        <v>938</v>
      </c>
      <c r="AM138">
        <v>18</v>
      </c>
      <c r="AN138">
        <v>53</v>
      </c>
      <c r="AO138">
        <v>212</v>
      </c>
      <c r="AP138">
        <v>1408</v>
      </c>
      <c r="AQ138">
        <v>3081776</v>
      </c>
      <c r="AR138">
        <v>12923610</v>
      </c>
      <c r="AS138">
        <v>219705</v>
      </c>
      <c r="AT138">
        <v>642658</v>
      </c>
      <c r="AU138">
        <v>3303385</v>
      </c>
      <c r="AV138">
        <v>20171134</v>
      </c>
      <c r="AW138">
        <v>7.87</v>
      </c>
      <c r="AX138">
        <v>8.74</v>
      </c>
      <c r="AY138">
        <v>7.9</v>
      </c>
      <c r="AZ138">
        <v>1.83</v>
      </c>
      <c r="BA138">
        <v>8.1300000000000008</v>
      </c>
      <c r="BB138">
        <v>7.48</v>
      </c>
      <c r="BC138">
        <v>6.25</v>
      </c>
      <c r="BD138">
        <v>5.54</v>
      </c>
      <c r="BE138">
        <v>5.5</v>
      </c>
      <c r="BF138">
        <v>6.5</v>
      </c>
      <c r="BG138">
        <v>0.67979999999999996</v>
      </c>
      <c r="BH138">
        <v>0.19589999999999999</v>
      </c>
      <c r="BI138">
        <v>6.7299999999999999E-2</v>
      </c>
      <c r="BJ138">
        <v>4.5600000000000002E-2</v>
      </c>
      <c r="BK138">
        <v>0.1328</v>
      </c>
      <c r="BL138">
        <v>0.66620000000000001</v>
      </c>
      <c r="BM138">
        <v>1.2800000000000001E-2</v>
      </c>
      <c r="BN138">
        <v>3.7600000000000001E-2</v>
      </c>
      <c r="BO138">
        <v>-0.57999999999999996</v>
      </c>
      <c r="BP138">
        <v>0.87</v>
      </c>
      <c r="BQ138">
        <v>0.03</v>
      </c>
      <c r="BR138">
        <v>-6.04</v>
      </c>
      <c r="BS138">
        <v>4516667.5</v>
      </c>
      <c r="BT138">
        <v>2250147.61</v>
      </c>
      <c r="BU138">
        <v>15.3</v>
      </c>
      <c r="BV138">
        <v>4061503.08</v>
      </c>
      <c r="BW138">
        <v>12.26</v>
      </c>
      <c r="BX138">
        <v>218336.7463</v>
      </c>
      <c r="BY138">
        <v>5.8062741219999996</v>
      </c>
      <c r="BZ138" s="5">
        <v>602510.63</v>
      </c>
      <c r="CA138" s="5">
        <v>5.98</v>
      </c>
      <c r="CB138" s="5">
        <v>36431.42</v>
      </c>
      <c r="CC138" s="5">
        <v>7.24</v>
      </c>
    </row>
    <row r="139" spans="1:81" x14ac:dyDescent="0.2">
      <c r="A139" s="2">
        <v>42522</v>
      </c>
      <c r="B139">
        <v>2016</v>
      </c>
      <c r="C139">
        <v>6</v>
      </c>
      <c r="E139">
        <v>7.33</v>
      </c>
      <c r="F139">
        <v>14.61</v>
      </c>
      <c r="G139">
        <v>28.78</v>
      </c>
      <c r="H139">
        <v>6.8</v>
      </c>
      <c r="I139">
        <v>7.02</v>
      </c>
      <c r="J139">
        <v>4.8433000000000002</v>
      </c>
      <c r="K139">
        <v>1.2894000000000001</v>
      </c>
      <c r="L139">
        <v>1.1232</v>
      </c>
      <c r="M139">
        <v>105.3509</v>
      </c>
      <c r="N139">
        <v>6.5891999999999999</v>
      </c>
      <c r="O139">
        <v>0.87110283899999996</v>
      </c>
      <c r="P139">
        <v>81.705366839999996</v>
      </c>
      <c r="Q139">
        <v>5.1102838530000003</v>
      </c>
      <c r="R139">
        <v>7621455</v>
      </c>
      <c r="S139">
        <v>36913117</v>
      </c>
      <c r="T139">
        <v>20531.79</v>
      </c>
      <c r="U139">
        <v>17074.75</v>
      </c>
      <c r="W139">
        <v>19718750</v>
      </c>
      <c r="X139">
        <v>26250000</v>
      </c>
      <c r="Y139">
        <v>2729.01</v>
      </c>
      <c r="Z139">
        <v>674.67</v>
      </c>
      <c r="AA139">
        <v>299.39999999999998</v>
      </c>
      <c r="AB139">
        <v>262.61</v>
      </c>
      <c r="AC139">
        <v>89.33</v>
      </c>
      <c r="AD139">
        <v>4055.02</v>
      </c>
      <c r="AE139">
        <v>50544227</v>
      </c>
      <c r="AF139">
        <v>13824166</v>
      </c>
      <c r="AG139">
        <v>5629812</v>
      </c>
      <c r="AH139">
        <v>1291371</v>
      </c>
      <c r="AI139">
        <v>5996358</v>
      </c>
      <c r="AJ139">
        <v>77285934</v>
      </c>
      <c r="AK139">
        <v>175</v>
      </c>
      <c r="AL139">
        <v>715</v>
      </c>
      <c r="AM139">
        <v>13</v>
      </c>
      <c r="AN139">
        <v>581</v>
      </c>
      <c r="AO139">
        <v>186</v>
      </c>
      <c r="AP139">
        <v>1670</v>
      </c>
      <c r="AQ139">
        <v>2891555</v>
      </c>
      <c r="AR139">
        <v>10535193</v>
      </c>
      <c r="AS139">
        <v>222674</v>
      </c>
      <c r="AT139">
        <v>6852542</v>
      </c>
      <c r="AU139">
        <v>2968465</v>
      </c>
      <c r="AV139">
        <v>23470429</v>
      </c>
      <c r="AW139">
        <v>8.4</v>
      </c>
      <c r="AX139">
        <v>9.2899999999999991</v>
      </c>
      <c r="AY139">
        <v>8.5299999999999994</v>
      </c>
      <c r="AZ139">
        <v>2.23</v>
      </c>
      <c r="BA139">
        <v>8.65</v>
      </c>
      <c r="BB139">
        <v>7.49</v>
      </c>
      <c r="BC139">
        <v>6.68</v>
      </c>
      <c r="BD139">
        <v>7.77</v>
      </c>
      <c r="BE139">
        <v>5.35</v>
      </c>
      <c r="BF139">
        <v>6.37</v>
      </c>
      <c r="BG139">
        <v>0.67300000000000004</v>
      </c>
      <c r="BH139">
        <v>0.16639999999999999</v>
      </c>
      <c r="BI139">
        <v>7.3800000000000004E-2</v>
      </c>
      <c r="BJ139">
        <v>6.4799999999999996E-2</v>
      </c>
      <c r="BK139">
        <v>0.1048</v>
      </c>
      <c r="BL139">
        <v>0.42809999999999998</v>
      </c>
      <c r="BM139">
        <v>7.7999999999999996E-3</v>
      </c>
      <c r="BN139">
        <v>0.34789999999999999</v>
      </c>
      <c r="BO139">
        <v>-1.17</v>
      </c>
      <c r="BP139">
        <v>0.89</v>
      </c>
      <c r="BQ139">
        <v>0.13</v>
      </c>
      <c r="BR139">
        <v>-6.17</v>
      </c>
      <c r="BS139">
        <v>19718750</v>
      </c>
      <c r="BT139">
        <v>4000781.23</v>
      </c>
      <c r="BU139">
        <v>15.23</v>
      </c>
      <c r="BV139">
        <v>70519.179999999993</v>
      </c>
      <c r="BW139">
        <v>16.22</v>
      </c>
      <c r="BX139">
        <v>606731.26560000004</v>
      </c>
      <c r="BY139">
        <v>5.6824251449999998</v>
      </c>
      <c r="BZ139" s="5">
        <v>1611479.04</v>
      </c>
      <c r="CA139" s="5">
        <v>6.4</v>
      </c>
      <c r="CB139" s="5">
        <v>1154610.31</v>
      </c>
      <c r="CC139" s="5">
        <v>6.71</v>
      </c>
    </row>
    <row r="140" spans="1:81" x14ac:dyDescent="0.2">
      <c r="A140" s="2">
        <v>42552</v>
      </c>
      <c r="B140">
        <v>2016</v>
      </c>
      <c r="C140">
        <v>7</v>
      </c>
      <c r="E140">
        <v>7.88</v>
      </c>
      <c r="F140">
        <v>15</v>
      </c>
      <c r="G140">
        <v>29.19</v>
      </c>
      <c r="H140">
        <v>7.69</v>
      </c>
      <c r="I140">
        <v>7.63</v>
      </c>
      <c r="J140">
        <v>3.7311999999999999</v>
      </c>
      <c r="K140">
        <v>1.3051999999999999</v>
      </c>
      <c r="L140">
        <v>1.1054999999999999</v>
      </c>
      <c r="M140">
        <v>104.191</v>
      </c>
      <c r="N140">
        <v>6.6771000000000003</v>
      </c>
      <c r="O140">
        <v>0.84699662899999995</v>
      </c>
      <c r="P140">
        <v>79.827612630000004</v>
      </c>
      <c r="Q140">
        <v>5.115767698</v>
      </c>
      <c r="R140">
        <v>25103629</v>
      </c>
      <c r="S140">
        <v>93666740</v>
      </c>
      <c r="T140">
        <v>13334.13</v>
      </c>
      <c r="U140">
        <v>1947.3</v>
      </c>
      <c r="W140">
        <v>21250000</v>
      </c>
      <c r="X140">
        <v>26250000</v>
      </c>
      <c r="Y140">
        <v>1194.6300000000001</v>
      </c>
      <c r="Z140">
        <v>481.98</v>
      </c>
      <c r="AA140">
        <v>238.74</v>
      </c>
      <c r="AB140">
        <v>216.13</v>
      </c>
      <c r="AC140">
        <v>82.19</v>
      </c>
      <c r="AD140">
        <v>2213.67</v>
      </c>
      <c r="AE140">
        <v>23750273</v>
      </c>
      <c r="AF140">
        <v>9720299</v>
      </c>
      <c r="AG140">
        <v>4869614</v>
      </c>
      <c r="AH140">
        <v>1245969</v>
      </c>
      <c r="AI140">
        <v>4894944</v>
      </c>
      <c r="AJ140">
        <v>44481099</v>
      </c>
      <c r="AK140">
        <v>201</v>
      </c>
      <c r="AL140">
        <v>836</v>
      </c>
      <c r="AM140">
        <v>21</v>
      </c>
      <c r="AN140">
        <v>6150</v>
      </c>
      <c r="AO140">
        <v>220</v>
      </c>
      <c r="AP140">
        <v>7428</v>
      </c>
      <c r="AQ140">
        <v>3262404</v>
      </c>
      <c r="AR140">
        <v>12405343</v>
      </c>
      <c r="AS140">
        <v>251813</v>
      </c>
      <c r="AT140">
        <v>61459033</v>
      </c>
      <c r="AU140">
        <v>3549242</v>
      </c>
      <c r="AV140">
        <v>80927835</v>
      </c>
      <c r="AW140">
        <v>9.02</v>
      </c>
      <c r="AX140">
        <v>9.15</v>
      </c>
      <c r="AY140">
        <v>9.25</v>
      </c>
      <c r="AZ140">
        <v>2.61</v>
      </c>
      <c r="BA140">
        <v>9.11</v>
      </c>
      <c r="BB140">
        <v>7.36</v>
      </c>
      <c r="BC140">
        <v>6.73</v>
      </c>
      <c r="BD140">
        <v>5.44</v>
      </c>
      <c r="BE140">
        <v>4.53</v>
      </c>
      <c r="BF140">
        <v>4.9400000000000004</v>
      </c>
      <c r="BG140">
        <v>0.53969999999999996</v>
      </c>
      <c r="BH140">
        <v>0.2177</v>
      </c>
      <c r="BI140">
        <v>0.10780000000000001</v>
      </c>
      <c r="BJ140">
        <v>9.7600000000000006E-2</v>
      </c>
      <c r="BK140">
        <v>2.7099999999999999E-2</v>
      </c>
      <c r="BL140">
        <v>0.1125</v>
      </c>
      <c r="BM140">
        <v>2.8E-3</v>
      </c>
      <c r="BN140">
        <v>0.82789999999999997</v>
      </c>
      <c r="BO140">
        <v>-2.38</v>
      </c>
      <c r="BP140">
        <v>0.13</v>
      </c>
      <c r="BQ140">
        <v>0.23</v>
      </c>
      <c r="BR140">
        <v>-6.4</v>
      </c>
      <c r="BS140">
        <v>21250000</v>
      </c>
      <c r="BT140">
        <v>2698196.94</v>
      </c>
      <c r="BU140">
        <v>15.14</v>
      </c>
      <c r="BV140">
        <v>2116338.2000000002</v>
      </c>
      <c r="BW140">
        <v>13.95</v>
      </c>
      <c r="BX140">
        <v>74838.03052</v>
      </c>
      <c r="BY140">
        <v>5.7121091650000002</v>
      </c>
      <c r="BZ140" s="5">
        <v>1638794.33</v>
      </c>
      <c r="CA140" s="5">
        <v>7.15</v>
      </c>
      <c r="CB140" s="5">
        <v>771898.53</v>
      </c>
      <c r="CC140" s="5">
        <v>7.78</v>
      </c>
    </row>
    <row r="141" spans="1:81" x14ac:dyDescent="0.2">
      <c r="A141" s="2">
        <v>42583</v>
      </c>
      <c r="B141">
        <v>2016</v>
      </c>
      <c r="C141">
        <v>8</v>
      </c>
      <c r="E141">
        <v>8.11</v>
      </c>
      <c r="F141">
        <v>14.94</v>
      </c>
      <c r="G141">
        <v>29.08</v>
      </c>
      <c r="H141">
        <v>5.5</v>
      </c>
      <c r="I141">
        <v>6</v>
      </c>
      <c r="J141">
        <v>3.9428999999999998</v>
      </c>
      <c r="K141">
        <v>1.2998000000000001</v>
      </c>
      <c r="L141">
        <v>1.1207</v>
      </c>
      <c r="M141">
        <v>101.2383</v>
      </c>
      <c r="N141">
        <v>6.6466000000000003</v>
      </c>
      <c r="O141">
        <v>0.86220957099999995</v>
      </c>
      <c r="P141">
        <v>77.887598089999997</v>
      </c>
      <c r="Q141">
        <v>5.1135559319999997</v>
      </c>
      <c r="R141">
        <v>25051027</v>
      </c>
      <c r="S141">
        <v>98773107</v>
      </c>
      <c r="T141">
        <v>12006.57</v>
      </c>
      <c r="U141">
        <v>643.6</v>
      </c>
      <c r="W141">
        <v>14667808.5</v>
      </c>
      <c r="X141">
        <v>26250000</v>
      </c>
      <c r="Y141">
        <v>1123.27</v>
      </c>
      <c r="Z141">
        <v>554.97</v>
      </c>
      <c r="AA141">
        <v>234.25</v>
      </c>
      <c r="AB141">
        <v>324.7</v>
      </c>
      <c r="AC141">
        <v>83.66</v>
      </c>
      <c r="AD141">
        <v>2320.85</v>
      </c>
      <c r="AE141">
        <v>19619068</v>
      </c>
      <c r="AF141">
        <v>11498359</v>
      </c>
      <c r="AG141">
        <v>4673053</v>
      </c>
      <c r="AH141">
        <v>1443731</v>
      </c>
      <c r="AI141">
        <v>6836556</v>
      </c>
      <c r="AJ141">
        <v>44070767</v>
      </c>
      <c r="AK141">
        <v>606</v>
      </c>
      <c r="AL141">
        <v>887</v>
      </c>
      <c r="AM141">
        <v>17</v>
      </c>
      <c r="AN141">
        <v>5573</v>
      </c>
      <c r="AO141">
        <v>304</v>
      </c>
      <c r="AP141">
        <v>7387</v>
      </c>
      <c r="AQ141">
        <v>10382567</v>
      </c>
      <c r="AR141">
        <v>13852790</v>
      </c>
      <c r="AS141">
        <v>229333</v>
      </c>
      <c r="AT141">
        <v>57863366</v>
      </c>
      <c r="AU141">
        <v>4709492</v>
      </c>
      <c r="AV141">
        <v>87037548</v>
      </c>
      <c r="AW141">
        <v>7.92</v>
      </c>
      <c r="AX141">
        <v>9.4</v>
      </c>
      <c r="AY141">
        <v>9.0500000000000007</v>
      </c>
      <c r="AZ141">
        <v>2.02</v>
      </c>
      <c r="BA141">
        <v>8.61</v>
      </c>
      <c r="BB141">
        <v>7.77</v>
      </c>
      <c r="BC141">
        <v>7.08</v>
      </c>
      <c r="BD141">
        <v>6.12</v>
      </c>
      <c r="BE141">
        <v>4.71</v>
      </c>
      <c r="BF141">
        <v>5.34</v>
      </c>
      <c r="BG141">
        <v>0.48399999999999999</v>
      </c>
      <c r="BH141">
        <v>0.23910000000000001</v>
      </c>
      <c r="BI141">
        <v>0.1009</v>
      </c>
      <c r="BJ141">
        <v>0.1399</v>
      </c>
      <c r="BK141">
        <v>8.2000000000000003E-2</v>
      </c>
      <c r="BL141">
        <v>0.1201</v>
      </c>
      <c r="BM141">
        <v>2.3E-3</v>
      </c>
      <c r="BN141">
        <v>0.75439999999999996</v>
      </c>
      <c r="BO141">
        <v>-1.39</v>
      </c>
      <c r="BP141">
        <v>1.48</v>
      </c>
      <c r="BQ141">
        <v>1.1299999999999999</v>
      </c>
      <c r="BR141">
        <v>-5.91</v>
      </c>
      <c r="BS141">
        <v>14667808.5</v>
      </c>
      <c r="BT141">
        <v>2302348.6</v>
      </c>
      <c r="BU141">
        <v>14.99</v>
      </c>
      <c r="BV141">
        <v>84540.56</v>
      </c>
      <c r="BW141">
        <v>14.85</v>
      </c>
      <c r="BX141">
        <v>155110.44930000001</v>
      </c>
      <c r="BY141">
        <v>7.4181913909999997</v>
      </c>
      <c r="BZ141" s="5">
        <v>693647.6</v>
      </c>
      <c r="CA141" s="5">
        <v>8.59</v>
      </c>
      <c r="CB141" s="5">
        <v>698213.37</v>
      </c>
      <c r="CC141" s="5">
        <v>8.39</v>
      </c>
    </row>
    <row r="142" spans="1:81" x14ac:dyDescent="0.2">
      <c r="A142" s="2">
        <v>42614</v>
      </c>
      <c r="B142">
        <v>2016</v>
      </c>
      <c r="C142">
        <v>9</v>
      </c>
      <c r="E142">
        <v>8.5</v>
      </c>
      <c r="F142">
        <v>14.86</v>
      </c>
      <c r="G142">
        <v>28.5</v>
      </c>
      <c r="H142">
        <v>6.13</v>
      </c>
      <c r="I142">
        <v>6.5</v>
      </c>
      <c r="J142">
        <v>4.2493999999999996</v>
      </c>
      <c r="K142">
        <v>1.3108</v>
      </c>
      <c r="L142">
        <v>1.1217999999999999</v>
      </c>
      <c r="M142">
        <v>101.7843</v>
      </c>
      <c r="N142">
        <v>6.6702000000000004</v>
      </c>
      <c r="O142">
        <v>0.85581324400000003</v>
      </c>
      <c r="P142">
        <v>77.650518770000005</v>
      </c>
      <c r="Q142">
        <v>5.0886481540000004</v>
      </c>
      <c r="R142">
        <v>21463481</v>
      </c>
      <c r="S142">
        <v>91206287</v>
      </c>
      <c r="T142">
        <v>10379.280000000001</v>
      </c>
      <c r="U142">
        <v>643.6</v>
      </c>
      <c r="W142">
        <v>7917186.7999999998</v>
      </c>
      <c r="X142">
        <v>26250000</v>
      </c>
      <c r="Y142">
        <v>533.80999999999995</v>
      </c>
      <c r="Z142">
        <v>565.20000000000005</v>
      </c>
      <c r="AA142">
        <v>257.51</v>
      </c>
      <c r="AB142">
        <v>208.02</v>
      </c>
      <c r="AC142">
        <v>93.1</v>
      </c>
      <c r="AD142">
        <v>1657.64</v>
      </c>
      <c r="AE142">
        <v>9445948</v>
      </c>
      <c r="AF142">
        <v>11654886</v>
      </c>
      <c r="AG142">
        <v>4929073</v>
      </c>
      <c r="AH142">
        <v>1887034</v>
      </c>
      <c r="AI142">
        <v>4609331</v>
      </c>
      <c r="AJ142">
        <v>32526272</v>
      </c>
      <c r="AK142">
        <v>1034</v>
      </c>
      <c r="AL142">
        <v>661</v>
      </c>
      <c r="AM142">
        <v>23</v>
      </c>
      <c r="AN142">
        <v>5777</v>
      </c>
      <c r="AO142">
        <v>337</v>
      </c>
      <c r="AP142">
        <v>7832</v>
      </c>
      <c r="AQ142">
        <v>17915982</v>
      </c>
      <c r="AR142">
        <v>10864088</v>
      </c>
      <c r="AS142">
        <v>306555</v>
      </c>
      <c r="AT142">
        <v>63540390</v>
      </c>
      <c r="AU142">
        <v>4972657</v>
      </c>
      <c r="AV142">
        <v>97599672</v>
      </c>
      <c r="AW142">
        <v>8.0299999999999994</v>
      </c>
      <c r="AX142">
        <v>9.35</v>
      </c>
      <c r="AY142">
        <v>8.68</v>
      </c>
      <c r="AZ142">
        <v>4.1100000000000003</v>
      </c>
      <c r="BA142">
        <v>8.9</v>
      </c>
      <c r="BB142">
        <v>7.86</v>
      </c>
      <c r="BC142">
        <v>7.46</v>
      </c>
      <c r="BD142">
        <v>6.05</v>
      </c>
      <c r="BE142">
        <v>4.99</v>
      </c>
      <c r="BF142">
        <v>5.65</v>
      </c>
      <c r="BG142">
        <v>0.32200000000000001</v>
      </c>
      <c r="BH142">
        <v>0.34100000000000003</v>
      </c>
      <c r="BI142">
        <v>0.15529999999999999</v>
      </c>
      <c r="BJ142">
        <v>0.1255</v>
      </c>
      <c r="BK142">
        <v>0.13200000000000001</v>
      </c>
      <c r="BL142">
        <v>8.4400000000000003E-2</v>
      </c>
      <c r="BM142">
        <v>2.8999999999999998E-3</v>
      </c>
      <c r="BN142">
        <v>0.73760000000000003</v>
      </c>
      <c r="BO142">
        <v>-1.1299999999999999</v>
      </c>
      <c r="BP142">
        <v>1.32</v>
      </c>
      <c r="BQ142">
        <v>0.66</v>
      </c>
      <c r="BR142">
        <v>-3.91</v>
      </c>
      <c r="BS142">
        <v>7917186.7999999998</v>
      </c>
      <c r="BT142">
        <v>1965813.36</v>
      </c>
      <c r="BU142">
        <v>13.91</v>
      </c>
      <c r="BV142">
        <v>4488690.0999999996</v>
      </c>
      <c r="BW142">
        <v>13.2</v>
      </c>
      <c r="BX142">
        <v>10934.915199999999</v>
      </c>
      <c r="BY142">
        <v>8.1467481339999992</v>
      </c>
      <c r="BZ142" s="5">
        <v>868247.24</v>
      </c>
      <c r="CA142" s="5">
        <v>7.18</v>
      </c>
      <c r="CB142" s="5">
        <v>527403.48</v>
      </c>
      <c r="CC142" s="5">
        <v>8.25</v>
      </c>
    </row>
    <row r="143" spans="1:81" x14ac:dyDescent="0.2">
      <c r="A143" s="2">
        <v>42644</v>
      </c>
      <c r="B143">
        <v>2016</v>
      </c>
      <c r="C143">
        <v>10</v>
      </c>
      <c r="E143">
        <v>8.2799999999999994</v>
      </c>
      <c r="F143">
        <v>15</v>
      </c>
      <c r="G143">
        <v>28.5</v>
      </c>
      <c r="H143">
        <v>6.15</v>
      </c>
      <c r="I143">
        <v>6.5</v>
      </c>
      <c r="J143">
        <v>3.9264999999999999</v>
      </c>
      <c r="K143">
        <v>1.3250999999999999</v>
      </c>
      <c r="L143">
        <v>1.1013999999999999</v>
      </c>
      <c r="M143">
        <v>103.9075</v>
      </c>
      <c r="N143">
        <v>6.7302999999999997</v>
      </c>
      <c r="O143">
        <v>0.83118255200000002</v>
      </c>
      <c r="P143">
        <v>78.414836620000003</v>
      </c>
      <c r="Q143">
        <v>5.0790883710000001</v>
      </c>
      <c r="R143">
        <v>22704185</v>
      </c>
      <c r="S143">
        <v>89148658</v>
      </c>
      <c r="T143">
        <v>11586.46</v>
      </c>
      <c r="U143">
        <v>1288</v>
      </c>
      <c r="W143">
        <v>3400000</v>
      </c>
      <c r="X143">
        <v>26250000</v>
      </c>
      <c r="Y143">
        <v>542.14</v>
      </c>
      <c r="Z143">
        <v>315.01</v>
      </c>
      <c r="AA143">
        <v>198.05</v>
      </c>
      <c r="AB143">
        <v>183.76</v>
      </c>
      <c r="AC143">
        <v>85.02</v>
      </c>
      <c r="AD143">
        <v>1323.98</v>
      </c>
      <c r="AE143">
        <v>9886128</v>
      </c>
      <c r="AF143">
        <v>6780645</v>
      </c>
      <c r="AG143">
        <v>3887856</v>
      </c>
      <c r="AH143">
        <v>1779444</v>
      </c>
      <c r="AI143">
        <v>4114672</v>
      </c>
      <c r="AJ143">
        <v>26448745</v>
      </c>
      <c r="AK143">
        <v>1037</v>
      </c>
      <c r="AL143">
        <v>663</v>
      </c>
      <c r="AM143">
        <v>32</v>
      </c>
      <c r="AN143">
        <v>6869</v>
      </c>
      <c r="AO143">
        <v>445</v>
      </c>
      <c r="AP143">
        <v>9046</v>
      </c>
      <c r="AQ143">
        <v>17862561</v>
      </c>
      <c r="AR143">
        <v>10715672</v>
      </c>
      <c r="AS143">
        <v>353455</v>
      </c>
      <c r="AT143">
        <v>73136170</v>
      </c>
      <c r="AU143">
        <v>6572533</v>
      </c>
      <c r="AV143">
        <v>108640391</v>
      </c>
      <c r="AW143">
        <v>8.27</v>
      </c>
      <c r="AX143">
        <v>9.76</v>
      </c>
      <c r="AY143">
        <v>8.9</v>
      </c>
      <c r="AZ143">
        <v>4.3899999999999997</v>
      </c>
      <c r="BA143">
        <v>9.06</v>
      </c>
      <c r="BB143">
        <v>7.81</v>
      </c>
      <c r="BC143">
        <v>7.33</v>
      </c>
      <c r="BD143">
        <v>5.01</v>
      </c>
      <c r="BE143">
        <v>4.83</v>
      </c>
      <c r="BF143">
        <v>5.45</v>
      </c>
      <c r="BG143">
        <v>0.40949999999999998</v>
      </c>
      <c r="BH143">
        <v>0.2379</v>
      </c>
      <c r="BI143">
        <v>0.14960000000000001</v>
      </c>
      <c r="BJ143">
        <v>0.13880000000000001</v>
      </c>
      <c r="BK143">
        <v>0.11459999999999999</v>
      </c>
      <c r="BL143">
        <v>7.3300000000000004E-2</v>
      </c>
      <c r="BM143">
        <v>3.5000000000000001E-3</v>
      </c>
      <c r="BN143">
        <v>0.75929999999999997</v>
      </c>
      <c r="BO143">
        <v>-1.41</v>
      </c>
      <c r="BP143">
        <v>1.49</v>
      </c>
      <c r="BQ143">
        <v>0.63</v>
      </c>
      <c r="BR143">
        <v>-3.88</v>
      </c>
      <c r="BS143">
        <v>3400000</v>
      </c>
      <c r="BT143">
        <v>2126005.46</v>
      </c>
      <c r="BU143">
        <v>14.75</v>
      </c>
      <c r="BV143">
        <v>60596.19</v>
      </c>
      <c r="BW143">
        <v>14.66</v>
      </c>
      <c r="BX143">
        <v>47760.88768</v>
      </c>
      <c r="BY143">
        <v>6.0500550559999997</v>
      </c>
      <c r="BZ143" s="5">
        <v>898042.73</v>
      </c>
      <c r="CA143" s="5">
        <v>7.04</v>
      </c>
      <c r="CB143" s="5">
        <v>414731.74</v>
      </c>
      <c r="CC143" s="5">
        <v>7.59</v>
      </c>
    </row>
    <row r="144" spans="1:81" x14ac:dyDescent="0.2">
      <c r="A144" s="2">
        <v>42675</v>
      </c>
      <c r="B144">
        <v>2016</v>
      </c>
      <c r="C144">
        <v>11</v>
      </c>
      <c r="E144">
        <v>7.44</v>
      </c>
      <c r="F144">
        <v>15</v>
      </c>
      <c r="G144">
        <v>28.47</v>
      </c>
      <c r="J144">
        <v>3.798</v>
      </c>
      <c r="K144">
        <v>1.3433999999999999</v>
      </c>
      <c r="L144">
        <v>1.0791999999999999</v>
      </c>
      <c r="M144">
        <v>108.443</v>
      </c>
      <c r="N144">
        <v>6.8402000000000003</v>
      </c>
      <c r="O144">
        <v>0.80333482199999995</v>
      </c>
      <c r="P144">
        <v>80.722792909999995</v>
      </c>
      <c r="Q144">
        <v>5.0917076080000001</v>
      </c>
      <c r="R144">
        <v>15642648</v>
      </c>
      <c r="S144">
        <v>59411090</v>
      </c>
      <c r="T144">
        <v>10476.09</v>
      </c>
      <c r="U144">
        <v>3380.7</v>
      </c>
      <c r="W144">
        <v>4294500</v>
      </c>
      <c r="X144">
        <v>26250000</v>
      </c>
      <c r="Y144">
        <v>1485.19</v>
      </c>
      <c r="Z144">
        <v>473.42</v>
      </c>
      <c r="AA144">
        <v>249.42</v>
      </c>
      <c r="AB144">
        <v>311.61</v>
      </c>
      <c r="AC144">
        <v>86</v>
      </c>
      <c r="AD144">
        <v>2605.64</v>
      </c>
      <c r="AE144">
        <v>25939119</v>
      </c>
      <c r="AF144">
        <v>9328553</v>
      </c>
      <c r="AG144">
        <v>4734333</v>
      </c>
      <c r="AH144">
        <v>1569925</v>
      </c>
      <c r="AI144">
        <v>6756604</v>
      </c>
      <c r="AJ144">
        <v>48328534</v>
      </c>
      <c r="AK144">
        <v>1086</v>
      </c>
      <c r="AL144">
        <v>722</v>
      </c>
      <c r="AM144">
        <v>16</v>
      </c>
      <c r="AN144">
        <v>4911</v>
      </c>
      <c r="AO144">
        <v>465</v>
      </c>
      <c r="AP144">
        <v>7200</v>
      </c>
      <c r="AQ144">
        <v>19565213</v>
      </c>
      <c r="AR144">
        <v>10924750</v>
      </c>
      <c r="AS144">
        <v>264765</v>
      </c>
      <c r="AT144">
        <v>50575953</v>
      </c>
      <c r="AU144">
        <v>7201270</v>
      </c>
      <c r="AV144">
        <v>88531951</v>
      </c>
      <c r="AW144">
        <v>7.92</v>
      </c>
      <c r="AX144">
        <v>8.94</v>
      </c>
      <c r="AY144">
        <v>8.61</v>
      </c>
      <c r="AZ144">
        <v>2.29</v>
      </c>
      <c r="BA144">
        <v>8.41</v>
      </c>
      <c r="BB144">
        <v>8.17</v>
      </c>
      <c r="BC144">
        <v>6.86</v>
      </c>
      <c r="BD144">
        <v>7.51</v>
      </c>
      <c r="BE144">
        <v>4.67</v>
      </c>
      <c r="BF144">
        <v>5.58</v>
      </c>
      <c r="BG144">
        <v>0.56999999999999995</v>
      </c>
      <c r="BH144">
        <v>0.1817</v>
      </c>
      <c r="BI144">
        <v>9.5699999999999993E-2</v>
      </c>
      <c r="BJ144">
        <v>0.1196</v>
      </c>
      <c r="BK144">
        <v>0.15079999999999999</v>
      </c>
      <c r="BL144">
        <v>0.1003</v>
      </c>
      <c r="BM144">
        <v>2.2000000000000001E-3</v>
      </c>
      <c r="BN144">
        <v>0.68210000000000004</v>
      </c>
      <c r="BO144">
        <v>-1.23</v>
      </c>
      <c r="BP144">
        <v>1.02</v>
      </c>
      <c r="BQ144">
        <v>0.69</v>
      </c>
      <c r="BR144">
        <v>-5.64</v>
      </c>
      <c r="BS144">
        <v>4843750</v>
      </c>
      <c r="BT144">
        <v>1957662.88</v>
      </c>
      <c r="BU144">
        <v>14.44</v>
      </c>
      <c r="BV144">
        <v>3550163.52</v>
      </c>
      <c r="BW144">
        <v>13.77</v>
      </c>
      <c r="BX144">
        <v>384873.74109999998</v>
      </c>
      <c r="BY144">
        <v>6.766403425</v>
      </c>
      <c r="BZ144" s="5">
        <v>543547.94999999995</v>
      </c>
      <c r="CA144" s="5">
        <v>6.35</v>
      </c>
      <c r="CB144" s="5">
        <v>266572.15999999997</v>
      </c>
      <c r="CC144" s="5">
        <v>7.22</v>
      </c>
    </row>
    <row r="145" spans="1:81" x14ac:dyDescent="0.2">
      <c r="A145" s="2">
        <v>42705</v>
      </c>
      <c r="B145">
        <v>2016</v>
      </c>
      <c r="C145">
        <v>12</v>
      </c>
      <c r="E145">
        <v>6.73</v>
      </c>
      <c r="F145">
        <v>14.56</v>
      </c>
      <c r="G145">
        <v>27.89</v>
      </c>
      <c r="J145">
        <v>4.0019</v>
      </c>
      <c r="K145">
        <v>1.3339000000000001</v>
      </c>
      <c r="L145">
        <v>1.0545</v>
      </c>
      <c r="M145">
        <v>115.99809999999999</v>
      </c>
      <c r="N145">
        <v>6.9198000000000004</v>
      </c>
      <c r="O145">
        <v>0.79053902099999995</v>
      </c>
      <c r="P145">
        <v>86.961616309999997</v>
      </c>
      <c r="Q145">
        <v>5.1876452510000002</v>
      </c>
      <c r="R145">
        <v>5354673</v>
      </c>
      <c r="S145">
        <v>21428703</v>
      </c>
      <c r="T145">
        <v>27118.14</v>
      </c>
      <c r="U145">
        <v>24689.3</v>
      </c>
      <c r="W145">
        <v>20051755.829999998</v>
      </c>
      <c r="X145">
        <v>26481452.5</v>
      </c>
      <c r="Y145">
        <v>5552.26</v>
      </c>
      <c r="Z145">
        <v>789.84</v>
      </c>
      <c r="AA145">
        <v>912.18</v>
      </c>
      <c r="AB145">
        <v>425.57</v>
      </c>
      <c r="AC145">
        <v>112.65</v>
      </c>
      <c r="AD145">
        <v>7792.5</v>
      </c>
      <c r="AE145">
        <v>97378624</v>
      </c>
      <c r="AF145">
        <v>15849593</v>
      </c>
      <c r="AG145">
        <v>16674490</v>
      </c>
      <c r="AH145">
        <v>1898509</v>
      </c>
      <c r="AI145">
        <v>9276130</v>
      </c>
      <c r="AJ145">
        <v>141077346</v>
      </c>
      <c r="AK145">
        <v>935</v>
      </c>
      <c r="AL145">
        <v>1875</v>
      </c>
      <c r="AM145">
        <v>46</v>
      </c>
      <c r="AN145">
        <v>853</v>
      </c>
      <c r="AO145">
        <v>629</v>
      </c>
      <c r="AP145">
        <v>4338</v>
      </c>
      <c r="AQ145">
        <v>17000404</v>
      </c>
      <c r="AR145">
        <v>28268107</v>
      </c>
      <c r="AS145">
        <v>766823</v>
      </c>
      <c r="AT145">
        <v>8366873</v>
      </c>
      <c r="AU145">
        <v>10318974</v>
      </c>
      <c r="AV145">
        <v>64721181</v>
      </c>
      <c r="AW145">
        <v>7.96</v>
      </c>
      <c r="AX145">
        <v>9.1</v>
      </c>
      <c r="AY145">
        <v>8.2899999999999991</v>
      </c>
      <c r="AZ145">
        <v>2.02</v>
      </c>
      <c r="BA145">
        <v>8.2100000000000009</v>
      </c>
      <c r="BB145">
        <v>8.25</v>
      </c>
      <c r="BC145">
        <v>6.84</v>
      </c>
      <c r="BD145">
        <v>7.56</v>
      </c>
      <c r="BE145">
        <v>4.45</v>
      </c>
      <c r="BF145">
        <v>6.77</v>
      </c>
      <c r="BG145">
        <v>0.71250000000000002</v>
      </c>
      <c r="BH145">
        <v>0.1014</v>
      </c>
      <c r="BI145">
        <v>0.1171</v>
      </c>
      <c r="BJ145">
        <v>5.4600000000000003E-2</v>
      </c>
      <c r="BK145">
        <v>0.2155</v>
      </c>
      <c r="BL145">
        <v>0.43219999999999997</v>
      </c>
      <c r="BM145">
        <v>1.06E-2</v>
      </c>
      <c r="BN145">
        <v>0.1966</v>
      </c>
      <c r="BO145">
        <v>-1.51</v>
      </c>
      <c r="BP145">
        <v>1.1399999999999999</v>
      </c>
      <c r="BQ145">
        <v>0.34</v>
      </c>
      <c r="BR145">
        <v>-5.93</v>
      </c>
      <c r="BS145">
        <v>19187500</v>
      </c>
      <c r="BT145">
        <v>1916039.65</v>
      </c>
      <c r="BU145">
        <v>14.47</v>
      </c>
      <c r="BV145">
        <v>268.95999999999998</v>
      </c>
      <c r="BW145">
        <v>12.33</v>
      </c>
      <c r="BX145">
        <v>145694.51730000001</v>
      </c>
      <c r="BY145">
        <v>5.6576665689999999</v>
      </c>
      <c r="BZ145" s="5">
        <v>309458.71999999997</v>
      </c>
      <c r="CA145" s="5">
        <v>7.09</v>
      </c>
      <c r="CB145" s="5">
        <v>11960.09</v>
      </c>
      <c r="CC145" s="5">
        <v>7.49</v>
      </c>
    </row>
    <row r="146" spans="1:81" x14ac:dyDescent="0.2">
      <c r="A146" s="2">
        <v>42736</v>
      </c>
      <c r="B146">
        <v>2017</v>
      </c>
      <c r="C146">
        <v>1</v>
      </c>
      <c r="E146">
        <v>7.75</v>
      </c>
      <c r="F146">
        <v>14.36</v>
      </c>
      <c r="G146">
        <v>27.53</v>
      </c>
      <c r="J146">
        <v>5.3383000000000003</v>
      </c>
      <c r="K146">
        <v>1.3183</v>
      </c>
      <c r="L146">
        <v>1.0634999999999999</v>
      </c>
      <c r="M146">
        <v>114.8721</v>
      </c>
      <c r="N146">
        <v>6.8906999999999998</v>
      </c>
      <c r="O146">
        <v>0.806720777</v>
      </c>
      <c r="P146">
        <v>87.136539479999996</v>
      </c>
      <c r="Q146">
        <v>5.2269589620000003</v>
      </c>
      <c r="R146">
        <v>2614344</v>
      </c>
      <c r="S146">
        <v>13956066</v>
      </c>
      <c r="T146">
        <v>10476.5</v>
      </c>
      <c r="U146">
        <v>9290.65</v>
      </c>
      <c r="W146">
        <v>16213716.390000001</v>
      </c>
      <c r="X146">
        <v>26715630.899999999</v>
      </c>
      <c r="Y146">
        <v>2455.16</v>
      </c>
      <c r="Z146">
        <v>1226.03</v>
      </c>
      <c r="AA146">
        <v>179.2</v>
      </c>
      <c r="AB146">
        <v>469.75</v>
      </c>
      <c r="AC146">
        <v>70.989999999999995</v>
      </c>
      <c r="AD146">
        <v>4401.13</v>
      </c>
      <c r="AE146">
        <v>46585014</v>
      </c>
      <c r="AF146">
        <v>25434416</v>
      </c>
      <c r="AG146">
        <v>3707147</v>
      </c>
      <c r="AH146">
        <v>1258293</v>
      </c>
      <c r="AI146">
        <v>10349638</v>
      </c>
      <c r="AJ146">
        <v>87334508</v>
      </c>
      <c r="AK146">
        <v>936</v>
      </c>
      <c r="AL146">
        <v>477</v>
      </c>
      <c r="AM146">
        <v>18</v>
      </c>
      <c r="AN146">
        <v>94</v>
      </c>
      <c r="AO146">
        <v>479</v>
      </c>
      <c r="AP146">
        <v>2004</v>
      </c>
      <c r="AQ146">
        <v>16944107</v>
      </c>
      <c r="AR146">
        <v>6301450</v>
      </c>
      <c r="AS146">
        <v>251955</v>
      </c>
      <c r="AT146">
        <v>1085443</v>
      </c>
      <c r="AU146">
        <v>7872123</v>
      </c>
      <c r="AV146">
        <v>32455078</v>
      </c>
      <c r="AW146">
        <v>8.61</v>
      </c>
      <c r="AX146">
        <v>9.41</v>
      </c>
      <c r="AY146">
        <v>9.3800000000000008</v>
      </c>
      <c r="AZ146">
        <v>1.22</v>
      </c>
      <c r="BA146">
        <v>9</v>
      </c>
      <c r="BB146">
        <v>8.2100000000000009</v>
      </c>
      <c r="BC146">
        <v>5.99</v>
      </c>
      <c r="BD146">
        <v>6.35</v>
      </c>
      <c r="BE146">
        <v>5.24</v>
      </c>
      <c r="BF146">
        <v>7.35</v>
      </c>
      <c r="BG146">
        <v>0.55779999999999996</v>
      </c>
      <c r="BH146">
        <v>0.27860000000000001</v>
      </c>
      <c r="BI146">
        <v>4.07E-2</v>
      </c>
      <c r="BJ146">
        <v>0.1067</v>
      </c>
      <c r="BK146">
        <v>0.46710000000000002</v>
      </c>
      <c r="BL146">
        <v>0.23799999999999999</v>
      </c>
      <c r="BM146">
        <v>8.9999999999999993E-3</v>
      </c>
      <c r="BN146">
        <v>4.6899999999999997E-2</v>
      </c>
      <c r="BO146">
        <v>-1.29</v>
      </c>
      <c r="BP146">
        <v>0.8</v>
      </c>
      <c r="BQ146">
        <v>0.78</v>
      </c>
      <c r="BR146">
        <v>-7.39</v>
      </c>
      <c r="BS146">
        <v>16214421.869999999</v>
      </c>
      <c r="BT146">
        <v>229302.53</v>
      </c>
      <c r="BU146">
        <v>4.4400000000000004</v>
      </c>
      <c r="BV146">
        <v>3022353.24</v>
      </c>
      <c r="BW146">
        <v>12.65</v>
      </c>
      <c r="BX146">
        <v>1444.0261</v>
      </c>
      <c r="BY146">
        <v>5.2512901259999998</v>
      </c>
      <c r="BZ146" s="5">
        <v>96544.91</v>
      </c>
      <c r="CA146" s="5">
        <v>10.66</v>
      </c>
      <c r="CB146" s="5">
        <v>35135.1</v>
      </c>
      <c r="CC146" s="5">
        <v>6.65</v>
      </c>
    </row>
    <row r="147" spans="1:81" x14ac:dyDescent="0.2">
      <c r="A147" s="2">
        <v>42767</v>
      </c>
      <c r="B147">
        <v>2017</v>
      </c>
      <c r="C147">
        <v>2</v>
      </c>
      <c r="E147">
        <v>7.78</v>
      </c>
      <c r="F147">
        <v>14.59</v>
      </c>
      <c r="G147">
        <v>27.09</v>
      </c>
      <c r="J147">
        <v>6.3045</v>
      </c>
      <c r="K147">
        <v>1.3109</v>
      </c>
      <c r="L147">
        <v>1.0649999999999999</v>
      </c>
      <c r="M147">
        <v>112.91160000000001</v>
      </c>
      <c r="N147">
        <v>6.8693999999999997</v>
      </c>
      <c r="O147">
        <v>0.812418949</v>
      </c>
      <c r="P147">
        <v>86.132885799999997</v>
      </c>
      <c r="Q147">
        <v>5.2402166450000003</v>
      </c>
      <c r="R147">
        <v>796297</v>
      </c>
      <c r="S147">
        <v>5020290</v>
      </c>
      <c r="T147">
        <v>547.94000000000005</v>
      </c>
      <c r="U147">
        <v>186.75</v>
      </c>
      <c r="W147">
        <v>11807916.710000001</v>
      </c>
      <c r="X147">
        <v>26952560.399999999</v>
      </c>
      <c r="Y147">
        <v>2562.73</v>
      </c>
      <c r="Z147">
        <v>761.53</v>
      </c>
      <c r="AA147">
        <v>216.55</v>
      </c>
      <c r="AB147">
        <v>278.37</v>
      </c>
      <c r="AC147">
        <v>59.66</v>
      </c>
      <c r="AD147">
        <v>3878.84</v>
      </c>
      <c r="AE147">
        <v>48242839</v>
      </c>
      <c r="AF147">
        <v>16512726</v>
      </c>
      <c r="AG147">
        <v>4366928</v>
      </c>
      <c r="AH147">
        <v>1106688</v>
      </c>
      <c r="AI147">
        <v>6089868</v>
      </c>
      <c r="AJ147">
        <v>76319049</v>
      </c>
      <c r="AK147">
        <v>397</v>
      </c>
      <c r="AL147">
        <v>390</v>
      </c>
      <c r="AM147">
        <v>18</v>
      </c>
      <c r="AN147">
        <v>49</v>
      </c>
      <c r="AO147">
        <v>268</v>
      </c>
      <c r="AP147">
        <v>1122</v>
      </c>
      <c r="AQ147">
        <v>7277909</v>
      </c>
      <c r="AR147">
        <v>5976775</v>
      </c>
      <c r="AS147">
        <v>335762</v>
      </c>
      <c r="AT147">
        <v>641103</v>
      </c>
      <c r="AU147">
        <v>4592635</v>
      </c>
      <c r="AV147">
        <v>18824184</v>
      </c>
      <c r="AW147">
        <v>8.5399999999999991</v>
      </c>
      <c r="AX147">
        <v>9.84</v>
      </c>
      <c r="AY147">
        <v>9.15</v>
      </c>
      <c r="AZ147">
        <v>1.8</v>
      </c>
      <c r="BA147">
        <v>8.92</v>
      </c>
      <c r="BB147">
        <v>8.32</v>
      </c>
      <c r="BC147">
        <v>6.95</v>
      </c>
      <c r="BD147">
        <v>8.4600000000000009</v>
      </c>
      <c r="BE147">
        <v>5.93</v>
      </c>
      <c r="BF147">
        <v>7.61</v>
      </c>
      <c r="BG147">
        <v>0.66069999999999995</v>
      </c>
      <c r="BH147">
        <v>0.1963</v>
      </c>
      <c r="BI147">
        <v>5.5800000000000002E-2</v>
      </c>
      <c r="BJ147">
        <v>7.1800000000000003E-2</v>
      </c>
      <c r="BK147">
        <v>0.3538</v>
      </c>
      <c r="BL147">
        <v>0.34760000000000002</v>
      </c>
      <c r="BM147">
        <v>1.6E-2</v>
      </c>
      <c r="BN147">
        <v>4.3700000000000003E-2</v>
      </c>
      <c r="BO147">
        <v>-0.57999999999999996</v>
      </c>
      <c r="BP147">
        <v>1.3</v>
      </c>
      <c r="BQ147">
        <v>0.61</v>
      </c>
      <c r="BR147">
        <v>-6.74</v>
      </c>
      <c r="BS147">
        <v>11807788.369999999</v>
      </c>
      <c r="BT147">
        <v>488180.03</v>
      </c>
      <c r="BU147">
        <v>16.7</v>
      </c>
      <c r="BV147">
        <v>2768786.67</v>
      </c>
      <c r="BW147">
        <v>12.08</v>
      </c>
      <c r="BX147">
        <v>53285.665399999998</v>
      </c>
      <c r="BY147">
        <v>6.4803732370000002</v>
      </c>
      <c r="BZ147" s="5">
        <v>52915.4</v>
      </c>
      <c r="CA147" s="5">
        <v>8.39</v>
      </c>
      <c r="CB147" s="5">
        <v>0</v>
      </c>
      <c r="CC147" s="5">
        <v>0</v>
      </c>
    </row>
    <row r="148" spans="1:81" x14ac:dyDescent="0.2">
      <c r="A148" s="2">
        <v>42795</v>
      </c>
      <c r="B148">
        <v>2017</v>
      </c>
      <c r="C148">
        <v>3</v>
      </c>
      <c r="E148">
        <v>9</v>
      </c>
      <c r="F148">
        <v>14.92</v>
      </c>
      <c r="G148">
        <v>26.64</v>
      </c>
      <c r="J148">
        <v>7.7401</v>
      </c>
      <c r="K148">
        <v>1.3387</v>
      </c>
      <c r="L148">
        <v>1.0690999999999999</v>
      </c>
      <c r="M148">
        <v>112.9165</v>
      </c>
      <c r="N148">
        <v>6.8940000000000001</v>
      </c>
      <c r="O148">
        <v>0.79861059199999995</v>
      </c>
      <c r="P148">
        <v>84.3478748</v>
      </c>
      <c r="Q148">
        <v>5.1497721670000001</v>
      </c>
      <c r="R148">
        <v>907381</v>
      </c>
      <c r="S148">
        <v>7023226</v>
      </c>
      <c r="T148">
        <v>598.33000000000004</v>
      </c>
      <c r="U148">
        <v>186.75</v>
      </c>
      <c r="W148">
        <v>6281413.5379999997</v>
      </c>
      <c r="X148">
        <v>27192266.399999999</v>
      </c>
      <c r="Y148">
        <v>1796.64</v>
      </c>
      <c r="Z148">
        <v>735.9</v>
      </c>
      <c r="AA148">
        <v>190.81</v>
      </c>
      <c r="AB148">
        <v>283.45999999999998</v>
      </c>
      <c r="AC148">
        <v>88.42</v>
      </c>
      <c r="AD148">
        <v>3095.23</v>
      </c>
      <c r="AE148">
        <v>35524790</v>
      </c>
      <c r="AF148">
        <v>16469302</v>
      </c>
      <c r="AG148">
        <v>3968988</v>
      </c>
      <c r="AH148">
        <v>1609719</v>
      </c>
      <c r="AI148">
        <v>6100393</v>
      </c>
      <c r="AJ148">
        <v>63673192</v>
      </c>
      <c r="AK148">
        <v>313</v>
      </c>
      <c r="AL148">
        <v>394</v>
      </c>
      <c r="AM148">
        <v>17</v>
      </c>
      <c r="AN148">
        <v>24</v>
      </c>
      <c r="AO148">
        <v>255</v>
      </c>
      <c r="AP148">
        <v>1003</v>
      </c>
      <c r="AQ148">
        <v>5863845</v>
      </c>
      <c r="AR148">
        <v>6507088</v>
      </c>
      <c r="AS148">
        <v>346111</v>
      </c>
      <c r="AT148">
        <v>364347</v>
      </c>
      <c r="AU148">
        <v>4521097</v>
      </c>
      <c r="AV148">
        <v>17602488</v>
      </c>
      <c r="AW148">
        <v>8.9700000000000006</v>
      </c>
      <c r="AX148">
        <v>10.15</v>
      </c>
      <c r="AY148">
        <v>9.44</v>
      </c>
      <c r="AZ148">
        <v>2.58</v>
      </c>
      <c r="BA148">
        <v>9.33</v>
      </c>
      <c r="BB148">
        <v>8.5</v>
      </c>
      <c r="BC148">
        <v>7.49</v>
      </c>
      <c r="BD148">
        <v>9.23</v>
      </c>
      <c r="BE148">
        <v>6.89</v>
      </c>
      <c r="BF148">
        <v>7.96</v>
      </c>
      <c r="BG148">
        <v>0.58050000000000002</v>
      </c>
      <c r="BH148">
        <v>0.23780000000000001</v>
      </c>
      <c r="BI148">
        <v>6.1600000000000002E-2</v>
      </c>
      <c r="BJ148">
        <v>9.1600000000000001E-2</v>
      </c>
      <c r="BK148">
        <v>0.31209999999999999</v>
      </c>
      <c r="BL148">
        <v>0.39279999999999998</v>
      </c>
      <c r="BM148">
        <v>1.6899999999999998E-2</v>
      </c>
      <c r="BN148">
        <v>2.3900000000000001E-2</v>
      </c>
      <c r="BO148">
        <v>0.19</v>
      </c>
      <c r="BP148">
        <v>1.18</v>
      </c>
      <c r="BQ148">
        <v>0.47</v>
      </c>
      <c r="BR148">
        <v>-6.39</v>
      </c>
      <c r="BS148">
        <v>6280118.6689999998</v>
      </c>
      <c r="BT148">
        <v>804584.89</v>
      </c>
      <c r="BU148">
        <v>11.81</v>
      </c>
      <c r="BV148">
        <v>2949.78</v>
      </c>
      <c r="BW148">
        <v>2.0499999999999998</v>
      </c>
      <c r="BX148">
        <v>8518.6516800000009</v>
      </c>
      <c r="BY148">
        <v>8.9778292240000006</v>
      </c>
      <c r="BZ148" s="5">
        <v>111767.84</v>
      </c>
      <c r="CA148" s="5">
        <v>8.4499999999999993</v>
      </c>
      <c r="CB148" s="5">
        <v>26305.58</v>
      </c>
      <c r="CC148" s="5">
        <v>3.29</v>
      </c>
    </row>
    <row r="149" spans="1:81" x14ac:dyDescent="0.2">
      <c r="A149" s="2">
        <v>42826</v>
      </c>
      <c r="B149">
        <v>2017</v>
      </c>
      <c r="C149">
        <v>4</v>
      </c>
      <c r="E149">
        <v>10.57</v>
      </c>
      <c r="F149">
        <v>15</v>
      </c>
      <c r="G149">
        <v>26.5</v>
      </c>
      <c r="J149">
        <v>8.3863000000000003</v>
      </c>
      <c r="K149">
        <v>1.3436999999999999</v>
      </c>
      <c r="L149">
        <v>1.0713999999999999</v>
      </c>
      <c r="M149">
        <v>110.09099999999999</v>
      </c>
      <c r="N149">
        <v>6.8875999999999999</v>
      </c>
      <c r="O149">
        <v>0.79735059900000005</v>
      </c>
      <c r="P149">
        <v>81.931234649999993</v>
      </c>
      <c r="Q149">
        <v>5.1258465429999998</v>
      </c>
      <c r="R149">
        <v>1320191</v>
      </c>
      <c r="S149">
        <v>11071482</v>
      </c>
      <c r="T149">
        <v>1715.63</v>
      </c>
      <c r="U149">
        <v>1116.8</v>
      </c>
      <c r="W149">
        <v>2710555.76</v>
      </c>
      <c r="X149">
        <v>27434774.899999999</v>
      </c>
      <c r="Y149">
        <v>2538.1</v>
      </c>
      <c r="Z149">
        <v>710.24</v>
      </c>
      <c r="AA149">
        <v>260.60000000000002</v>
      </c>
      <c r="AB149">
        <v>294.73</v>
      </c>
      <c r="AC149">
        <v>198.62</v>
      </c>
      <c r="AD149">
        <v>4002.29</v>
      </c>
      <c r="AE149">
        <v>41574278</v>
      </c>
      <c r="AF149">
        <v>12766705</v>
      </c>
      <c r="AG149">
        <v>5042823</v>
      </c>
      <c r="AH149">
        <v>1502137</v>
      </c>
      <c r="AI149">
        <v>6059031</v>
      </c>
      <c r="AJ149">
        <v>66944974</v>
      </c>
      <c r="AK149">
        <v>351</v>
      </c>
      <c r="AL149">
        <v>352</v>
      </c>
      <c r="AM149">
        <v>20</v>
      </c>
      <c r="AN149">
        <v>16</v>
      </c>
      <c r="AO149">
        <v>266</v>
      </c>
      <c r="AP149">
        <v>1005</v>
      </c>
      <c r="AQ149">
        <v>6215584</v>
      </c>
      <c r="AR149">
        <v>5919403</v>
      </c>
      <c r="AS149">
        <v>423417</v>
      </c>
      <c r="AT149">
        <v>207902</v>
      </c>
      <c r="AU149">
        <v>4854284</v>
      </c>
      <c r="AV149">
        <v>17620590</v>
      </c>
      <c r="AW149">
        <v>7.43</v>
      </c>
      <c r="AX149">
        <v>8.15</v>
      </c>
      <c r="AY149">
        <v>8.7799999999999994</v>
      </c>
      <c r="AZ149">
        <v>2.31</v>
      </c>
      <c r="BA149">
        <v>7.59</v>
      </c>
      <c r="BB149">
        <v>8.0299999999999994</v>
      </c>
      <c r="BC149">
        <v>7.63</v>
      </c>
      <c r="BD149">
        <v>9.6</v>
      </c>
      <c r="BE149">
        <v>5.89</v>
      </c>
      <c r="BF149">
        <v>7.95</v>
      </c>
      <c r="BG149">
        <v>0.63419999999999999</v>
      </c>
      <c r="BH149">
        <v>0.17749999999999999</v>
      </c>
      <c r="BI149">
        <v>6.5100000000000005E-2</v>
      </c>
      <c r="BJ149">
        <v>7.3599999999999999E-2</v>
      </c>
      <c r="BK149">
        <v>0.3493</v>
      </c>
      <c r="BL149">
        <v>0.35020000000000001</v>
      </c>
      <c r="BM149">
        <v>1.9900000000000001E-2</v>
      </c>
      <c r="BN149">
        <v>1.5900000000000001E-2</v>
      </c>
      <c r="BO149">
        <v>0.36</v>
      </c>
      <c r="BP149">
        <v>0.72</v>
      </c>
      <c r="BQ149">
        <v>1.35</v>
      </c>
      <c r="BR149">
        <v>-5.12</v>
      </c>
      <c r="BS149">
        <v>2710817.0440000002</v>
      </c>
      <c r="BT149">
        <v>87102.33</v>
      </c>
      <c r="BU149">
        <v>3.88</v>
      </c>
      <c r="BV149">
        <v>3225348.04</v>
      </c>
      <c r="BW149">
        <v>12.45</v>
      </c>
      <c r="BX149">
        <v>38036.308859999997</v>
      </c>
      <c r="BY149">
        <v>6.8258726410000001</v>
      </c>
      <c r="BZ149" s="5">
        <v>25293.66</v>
      </c>
      <c r="CA149" s="5">
        <v>9.25</v>
      </c>
      <c r="CB149" s="5">
        <v>0</v>
      </c>
      <c r="CC149" s="5">
        <v>0</v>
      </c>
    </row>
    <row r="150" spans="1:81" x14ac:dyDescent="0.2">
      <c r="A150" s="2">
        <v>42856</v>
      </c>
      <c r="B150">
        <v>2017</v>
      </c>
      <c r="C150">
        <v>5</v>
      </c>
      <c r="E150">
        <v>7.44</v>
      </c>
      <c r="F150">
        <v>15.22</v>
      </c>
      <c r="G150">
        <v>26.5</v>
      </c>
      <c r="H150">
        <v>6.88</v>
      </c>
      <c r="I150">
        <v>7.47</v>
      </c>
      <c r="J150">
        <v>5.5782999999999996</v>
      </c>
      <c r="K150">
        <v>1.3606</v>
      </c>
      <c r="L150">
        <v>1.105</v>
      </c>
      <c r="M150">
        <v>112.2436</v>
      </c>
      <c r="N150">
        <v>6.8842999999999996</v>
      </c>
      <c r="O150">
        <v>0.81214170200000002</v>
      </c>
      <c r="P150">
        <v>82.495663680000007</v>
      </c>
      <c r="Q150">
        <v>5.0597530500000003</v>
      </c>
      <c r="R150">
        <v>2714097</v>
      </c>
      <c r="S150">
        <v>15139941</v>
      </c>
      <c r="T150">
        <v>32737.55</v>
      </c>
      <c r="U150">
        <v>31506.45</v>
      </c>
      <c r="W150">
        <v>4763747.2920000004</v>
      </c>
      <c r="X150">
        <v>27680112.100000001</v>
      </c>
      <c r="Y150">
        <v>3402.13</v>
      </c>
      <c r="Z150">
        <v>1066.67</v>
      </c>
      <c r="AA150">
        <v>359.47</v>
      </c>
      <c r="AB150">
        <v>417.88</v>
      </c>
      <c r="AC150">
        <v>88.19</v>
      </c>
      <c r="AD150">
        <v>5334.34</v>
      </c>
      <c r="AE150">
        <v>66512478</v>
      </c>
      <c r="AF150">
        <v>22087500</v>
      </c>
      <c r="AG150">
        <v>7013705</v>
      </c>
      <c r="AH150">
        <v>1641024</v>
      </c>
      <c r="AI150">
        <v>9153418</v>
      </c>
      <c r="AJ150">
        <v>106408125</v>
      </c>
      <c r="AK150">
        <v>355</v>
      </c>
      <c r="AL150">
        <v>520</v>
      </c>
      <c r="AM150">
        <v>13</v>
      </c>
      <c r="AN150">
        <v>29</v>
      </c>
      <c r="AO150">
        <v>309</v>
      </c>
      <c r="AP150">
        <v>1226</v>
      </c>
      <c r="AQ150">
        <v>6013728</v>
      </c>
      <c r="AR150">
        <v>8138559</v>
      </c>
      <c r="AS150">
        <v>242859</v>
      </c>
      <c r="AT150">
        <v>509236</v>
      </c>
      <c r="AU150">
        <v>5502423</v>
      </c>
      <c r="AV150">
        <v>20406805</v>
      </c>
      <c r="AW150">
        <v>8.8699999999999992</v>
      </c>
      <c r="AX150">
        <v>9.39</v>
      </c>
      <c r="AY150">
        <v>8.85</v>
      </c>
      <c r="AZ150">
        <v>1.78</v>
      </c>
      <c r="BA150">
        <v>9.0500000000000007</v>
      </c>
      <c r="BB150">
        <v>7.68</v>
      </c>
      <c r="BC150">
        <v>7.1</v>
      </c>
      <c r="BD150">
        <v>8.4700000000000006</v>
      </c>
      <c r="BE150">
        <v>7.97</v>
      </c>
      <c r="BF150">
        <v>7.55</v>
      </c>
      <c r="BG150">
        <v>0.63780000000000003</v>
      </c>
      <c r="BH150">
        <v>0.2</v>
      </c>
      <c r="BI150">
        <v>6.7400000000000002E-2</v>
      </c>
      <c r="BJ150">
        <v>7.8299999999999995E-2</v>
      </c>
      <c r="BK150">
        <v>0.28960000000000002</v>
      </c>
      <c r="BL150">
        <v>0.42409999999999998</v>
      </c>
      <c r="BM150">
        <v>1.06E-2</v>
      </c>
      <c r="BN150">
        <v>2.3699999999999999E-2</v>
      </c>
      <c r="BO150">
        <v>1.45</v>
      </c>
      <c r="BP150">
        <v>0.52</v>
      </c>
      <c r="BQ150">
        <v>-0.02</v>
      </c>
      <c r="BR150">
        <v>-7.09</v>
      </c>
      <c r="BS150">
        <v>4762737.6270000003</v>
      </c>
      <c r="BT150">
        <v>32357.21</v>
      </c>
      <c r="BU150">
        <v>11.93</v>
      </c>
      <c r="BV150">
        <v>1386642.05</v>
      </c>
      <c r="BW150">
        <v>13.92</v>
      </c>
      <c r="BX150">
        <v>280048.4694</v>
      </c>
      <c r="BY150">
        <v>6.3486331639999998</v>
      </c>
      <c r="BZ150" s="5">
        <v>390392.69</v>
      </c>
      <c r="CA150" s="5">
        <v>6.32</v>
      </c>
      <c r="CB150" s="5">
        <v>112612.22</v>
      </c>
      <c r="CC150" s="5">
        <v>7.45</v>
      </c>
    </row>
    <row r="151" spans="1:81" x14ac:dyDescent="0.2">
      <c r="A151" s="2">
        <v>42887</v>
      </c>
      <c r="B151">
        <v>2017</v>
      </c>
      <c r="C151">
        <v>6</v>
      </c>
      <c r="E151">
        <v>6.77</v>
      </c>
      <c r="F151">
        <v>15.5</v>
      </c>
      <c r="G151">
        <v>26.75</v>
      </c>
      <c r="H151">
        <v>6.09</v>
      </c>
      <c r="I151">
        <v>6.66</v>
      </c>
      <c r="J151">
        <v>4.9328000000000003</v>
      </c>
      <c r="K151">
        <v>1.3294999999999999</v>
      </c>
      <c r="L151">
        <v>1.1233</v>
      </c>
      <c r="M151">
        <v>110.9141</v>
      </c>
      <c r="N151">
        <v>6.8066000000000004</v>
      </c>
      <c r="O151">
        <v>0.84490409899999996</v>
      </c>
      <c r="P151">
        <v>83.425423089999995</v>
      </c>
      <c r="Q151">
        <v>5.1196690489999996</v>
      </c>
      <c r="R151">
        <v>3247028</v>
      </c>
      <c r="S151">
        <v>16016929</v>
      </c>
      <c r="T151">
        <v>21696.23</v>
      </c>
      <c r="U151">
        <v>20223.400000000001</v>
      </c>
      <c r="W151">
        <v>21007670.57</v>
      </c>
      <c r="X151">
        <v>27928304.399999999</v>
      </c>
      <c r="Y151">
        <v>4343.04</v>
      </c>
      <c r="Z151">
        <v>858.74</v>
      </c>
      <c r="AA151">
        <v>363.74</v>
      </c>
      <c r="AB151">
        <v>332.87</v>
      </c>
      <c r="AC151">
        <v>80.739999999999995</v>
      </c>
      <c r="AD151">
        <v>5979.13</v>
      </c>
      <c r="AE151">
        <v>80834878</v>
      </c>
      <c r="AF151">
        <v>17869111</v>
      </c>
      <c r="AG151">
        <v>6583521</v>
      </c>
      <c r="AH151">
        <v>1265458</v>
      </c>
      <c r="AI151">
        <v>7449791</v>
      </c>
      <c r="AJ151">
        <v>114002759</v>
      </c>
      <c r="AK151">
        <v>375</v>
      </c>
      <c r="AL151">
        <v>516</v>
      </c>
      <c r="AM151">
        <v>17</v>
      </c>
      <c r="AN151">
        <v>69</v>
      </c>
      <c r="AO151">
        <v>271</v>
      </c>
      <c r="AP151">
        <v>1248</v>
      </c>
      <c r="AQ151">
        <v>6361450</v>
      </c>
      <c r="AR151">
        <v>7738787</v>
      </c>
      <c r="AS151">
        <v>286252</v>
      </c>
      <c r="AT151">
        <v>796810</v>
      </c>
      <c r="AU151">
        <v>4549773</v>
      </c>
      <c r="AV151">
        <v>19733072</v>
      </c>
      <c r="AW151">
        <v>8.44</v>
      </c>
      <c r="AX151">
        <v>9.44</v>
      </c>
      <c r="AY151">
        <v>8.2100000000000009</v>
      </c>
      <c r="AZ151">
        <v>1.72</v>
      </c>
      <c r="BA151">
        <v>8.65</v>
      </c>
      <c r="BB151">
        <v>7.69</v>
      </c>
      <c r="BC151">
        <v>6.8</v>
      </c>
      <c r="BD151">
        <v>7.64</v>
      </c>
      <c r="BE151">
        <v>5.24</v>
      </c>
      <c r="BF151">
        <v>7.17</v>
      </c>
      <c r="BG151">
        <v>0.72640000000000005</v>
      </c>
      <c r="BH151">
        <v>0.14360000000000001</v>
      </c>
      <c r="BI151">
        <v>6.08E-2</v>
      </c>
      <c r="BJ151">
        <v>5.57E-2</v>
      </c>
      <c r="BK151">
        <v>0.30049999999999999</v>
      </c>
      <c r="BL151">
        <v>0.41349999999999998</v>
      </c>
      <c r="BM151">
        <v>1.3599999999999999E-2</v>
      </c>
      <c r="BN151">
        <v>5.5300000000000002E-2</v>
      </c>
      <c r="BO151">
        <v>-1.1100000000000001</v>
      </c>
      <c r="BP151">
        <v>1</v>
      </c>
      <c r="BQ151">
        <v>-0.23</v>
      </c>
      <c r="BR151">
        <v>-6.72</v>
      </c>
      <c r="BS151">
        <v>21006679.18</v>
      </c>
      <c r="BT151">
        <v>239053.56</v>
      </c>
      <c r="BU151">
        <v>17.05</v>
      </c>
      <c r="BV151">
        <v>437489.2</v>
      </c>
      <c r="BW151">
        <v>11.91</v>
      </c>
      <c r="BX151">
        <v>518714.01669999998</v>
      </c>
      <c r="BY151">
        <v>6.4495095410000003</v>
      </c>
      <c r="BZ151" s="5">
        <v>1276107.1599999999</v>
      </c>
      <c r="CA151" s="5">
        <v>7.12</v>
      </c>
      <c r="CB151" s="5">
        <v>648505.71</v>
      </c>
      <c r="CC151" s="5">
        <v>7.8</v>
      </c>
    </row>
    <row r="152" spans="1:81" x14ac:dyDescent="0.2">
      <c r="A152" s="2">
        <v>42917</v>
      </c>
      <c r="B152">
        <v>2017</v>
      </c>
      <c r="C152">
        <v>7</v>
      </c>
      <c r="E152">
        <v>7.97</v>
      </c>
      <c r="F152">
        <v>15.5</v>
      </c>
      <c r="G152">
        <v>26.5</v>
      </c>
      <c r="H152">
        <v>6.13</v>
      </c>
      <c r="I152">
        <v>7.37</v>
      </c>
      <c r="J152">
        <v>3.8458999999999999</v>
      </c>
      <c r="K152">
        <v>1.2689999999999999</v>
      </c>
      <c r="L152">
        <v>1.153</v>
      </c>
      <c r="M152">
        <v>112.417</v>
      </c>
      <c r="N152">
        <v>6.7694000000000001</v>
      </c>
      <c r="O152">
        <v>0.90858944100000005</v>
      </c>
      <c r="P152">
        <v>88.587076440000004</v>
      </c>
      <c r="Q152">
        <v>5.3344365639999998</v>
      </c>
      <c r="R152">
        <v>14512376</v>
      </c>
      <c r="S152">
        <v>55813027</v>
      </c>
      <c r="T152">
        <v>9164.36</v>
      </c>
      <c r="U152">
        <v>2581.65</v>
      </c>
      <c r="W152">
        <v>23591776.100000001</v>
      </c>
      <c r="X152">
        <v>28179379</v>
      </c>
      <c r="Y152">
        <v>1834.33</v>
      </c>
      <c r="Z152">
        <v>756.58</v>
      </c>
      <c r="AA152">
        <v>275.98</v>
      </c>
      <c r="AB152">
        <v>376.21</v>
      </c>
      <c r="AC152">
        <v>88.26</v>
      </c>
      <c r="AD152">
        <v>3331.36</v>
      </c>
      <c r="AE152">
        <v>35854947</v>
      </c>
      <c r="AF152">
        <v>15449066</v>
      </c>
      <c r="AG152">
        <v>5520896</v>
      </c>
      <c r="AH152">
        <v>1545498</v>
      </c>
      <c r="AI152">
        <v>8393992</v>
      </c>
      <c r="AJ152">
        <v>66764399</v>
      </c>
      <c r="AK152">
        <v>469</v>
      </c>
      <c r="AL152">
        <v>574</v>
      </c>
      <c r="AM152">
        <v>14</v>
      </c>
      <c r="AN152">
        <v>2043</v>
      </c>
      <c r="AO152">
        <v>318</v>
      </c>
      <c r="AP152">
        <v>3418</v>
      </c>
      <c r="AQ152">
        <v>7973916</v>
      </c>
      <c r="AR152">
        <v>9158365</v>
      </c>
      <c r="AS152">
        <v>258358</v>
      </c>
      <c r="AT152">
        <v>20263747</v>
      </c>
      <c r="AU152">
        <v>5457859</v>
      </c>
      <c r="AV152">
        <v>43112245</v>
      </c>
      <c r="AW152">
        <v>8.8699999999999992</v>
      </c>
      <c r="AX152">
        <v>9.26</v>
      </c>
      <c r="AY152">
        <v>9.07</v>
      </c>
      <c r="AZ152">
        <v>1.86</v>
      </c>
      <c r="BA152">
        <v>9.09</v>
      </c>
      <c r="BB152">
        <v>7.71</v>
      </c>
      <c r="BC152">
        <v>7.24</v>
      </c>
      <c r="BD152">
        <v>8.3699999999999992</v>
      </c>
      <c r="BE152">
        <v>4.5</v>
      </c>
      <c r="BF152">
        <v>5.72</v>
      </c>
      <c r="BG152">
        <v>0.55059999999999998</v>
      </c>
      <c r="BH152">
        <v>0.2271</v>
      </c>
      <c r="BI152">
        <v>8.2799999999999999E-2</v>
      </c>
      <c r="BJ152">
        <v>0.1129</v>
      </c>
      <c r="BK152">
        <v>0.13719999999999999</v>
      </c>
      <c r="BL152">
        <v>0.16789999999999999</v>
      </c>
      <c r="BM152">
        <v>4.1000000000000003E-3</v>
      </c>
      <c r="BN152">
        <v>0.59770000000000001</v>
      </c>
      <c r="BO152">
        <v>-2.4900000000000002</v>
      </c>
      <c r="BP152">
        <v>0.39</v>
      </c>
      <c r="BQ152">
        <v>0.21</v>
      </c>
      <c r="BR152">
        <v>-7</v>
      </c>
      <c r="BS152">
        <v>23592605.620000001</v>
      </c>
      <c r="BT152">
        <v>72721.600000000006</v>
      </c>
      <c r="BU152">
        <v>3.91</v>
      </c>
      <c r="BV152">
        <v>201303.85</v>
      </c>
      <c r="BW152">
        <v>12.78</v>
      </c>
      <c r="BX152">
        <v>99946.447700000004</v>
      </c>
      <c r="BY152">
        <v>7.933868769</v>
      </c>
      <c r="BZ152" s="5">
        <v>1661497.56</v>
      </c>
      <c r="CA152" s="5">
        <v>7.83</v>
      </c>
      <c r="CB152" s="5">
        <v>808971.5</v>
      </c>
      <c r="CC152" s="5">
        <v>7.74</v>
      </c>
    </row>
    <row r="153" spans="1:81" x14ac:dyDescent="0.2">
      <c r="A153" s="2">
        <v>42948</v>
      </c>
      <c r="B153">
        <v>2017</v>
      </c>
      <c r="C153">
        <v>8</v>
      </c>
      <c r="E153">
        <v>8.6999999999999993</v>
      </c>
      <c r="F153">
        <v>15.5</v>
      </c>
      <c r="G153">
        <v>25.38</v>
      </c>
      <c r="H153">
        <v>4.13</v>
      </c>
      <c r="I153">
        <v>4.63</v>
      </c>
      <c r="J153">
        <v>3.4618000000000002</v>
      </c>
      <c r="K153">
        <v>1.2607999999999999</v>
      </c>
      <c r="L153">
        <v>1.1813</v>
      </c>
      <c r="M153">
        <v>109.827</v>
      </c>
      <c r="N153">
        <v>6.6669999999999998</v>
      </c>
      <c r="O153">
        <v>0.936944797</v>
      </c>
      <c r="P153">
        <v>87.108978429999993</v>
      </c>
      <c r="Q153">
        <v>5.2879124370000001</v>
      </c>
      <c r="R153">
        <v>28591997</v>
      </c>
      <c r="S153">
        <v>98980347</v>
      </c>
      <c r="T153">
        <v>13558.93</v>
      </c>
      <c r="U153">
        <v>589.79999999999995</v>
      </c>
      <c r="W153">
        <v>16101813.859999999</v>
      </c>
      <c r="X153">
        <v>28433363.699999999</v>
      </c>
      <c r="Y153">
        <v>977.24</v>
      </c>
      <c r="Z153">
        <v>744.3</v>
      </c>
      <c r="AA153">
        <v>270.5</v>
      </c>
      <c r="AB153">
        <v>397.15</v>
      </c>
      <c r="AC153">
        <v>84.05</v>
      </c>
      <c r="AD153">
        <v>2473.2399999999998</v>
      </c>
      <c r="AE153">
        <v>19700184</v>
      </c>
      <c r="AF153">
        <v>15454556</v>
      </c>
      <c r="AG153">
        <v>5436539</v>
      </c>
      <c r="AH153">
        <v>1382556</v>
      </c>
      <c r="AI153">
        <v>8633595</v>
      </c>
      <c r="AJ153">
        <v>50607430</v>
      </c>
      <c r="AK153">
        <v>1015</v>
      </c>
      <c r="AL153">
        <v>692</v>
      </c>
      <c r="AM153">
        <v>14</v>
      </c>
      <c r="AN153">
        <v>7193</v>
      </c>
      <c r="AO153">
        <v>363</v>
      </c>
      <c r="AP153">
        <v>9277</v>
      </c>
      <c r="AQ153">
        <v>18105122</v>
      </c>
      <c r="AR153">
        <v>10917674</v>
      </c>
      <c r="AS153">
        <v>272689</v>
      </c>
      <c r="AT153">
        <v>68890315</v>
      </c>
      <c r="AU153">
        <v>6154189</v>
      </c>
      <c r="AV153">
        <v>104339989</v>
      </c>
      <c r="AW153">
        <v>9.14</v>
      </c>
      <c r="AX153">
        <v>9.42</v>
      </c>
      <c r="AY153">
        <v>9.1199999999999992</v>
      </c>
      <c r="AZ153">
        <v>1.58</v>
      </c>
      <c r="BA153">
        <v>9.2799999999999994</v>
      </c>
      <c r="BB153">
        <v>8.09</v>
      </c>
      <c r="BC153">
        <v>7.16</v>
      </c>
      <c r="BD153">
        <v>8.83</v>
      </c>
      <c r="BE153">
        <v>4.34</v>
      </c>
      <c r="BF153">
        <v>5.0999999999999996</v>
      </c>
      <c r="BG153">
        <v>0.39510000000000001</v>
      </c>
      <c r="BH153">
        <v>0.3009</v>
      </c>
      <c r="BI153">
        <v>0.1094</v>
      </c>
      <c r="BJ153">
        <v>0.16059999999999999</v>
      </c>
      <c r="BK153">
        <v>0.1094</v>
      </c>
      <c r="BL153">
        <v>7.46E-2</v>
      </c>
      <c r="BM153">
        <v>1.5E-3</v>
      </c>
      <c r="BN153">
        <v>0.77539999999999998</v>
      </c>
      <c r="BO153">
        <v>-2.91</v>
      </c>
      <c r="BP153">
        <v>0.28000000000000003</v>
      </c>
      <c r="BQ153">
        <v>-0.03</v>
      </c>
      <c r="BR153">
        <v>-7.56</v>
      </c>
      <c r="BS153">
        <v>16101994.949999999</v>
      </c>
      <c r="BT153">
        <v>344132.36</v>
      </c>
      <c r="BU153">
        <v>13.79</v>
      </c>
      <c r="BV153">
        <v>299.83</v>
      </c>
      <c r="BW153">
        <v>16.75</v>
      </c>
      <c r="BX153">
        <v>544838.76370000001</v>
      </c>
      <c r="BY153">
        <v>6.1616412479999996</v>
      </c>
      <c r="BZ153" s="5">
        <v>820115.88</v>
      </c>
      <c r="CA153" s="5">
        <v>6.11</v>
      </c>
      <c r="CB153" s="5">
        <v>576520.31000000006</v>
      </c>
      <c r="CC153" s="5">
        <v>8.25</v>
      </c>
    </row>
    <row r="154" spans="1:81" x14ac:dyDescent="0.2">
      <c r="A154" s="2">
        <v>42979</v>
      </c>
      <c r="B154">
        <v>2017</v>
      </c>
      <c r="C154">
        <v>9</v>
      </c>
      <c r="E154">
        <v>8.2100000000000009</v>
      </c>
      <c r="F154">
        <v>15.5</v>
      </c>
      <c r="G154">
        <v>23.94</v>
      </c>
      <c r="H154">
        <v>4.13</v>
      </c>
      <c r="I154">
        <v>4.63</v>
      </c>
      <c r="J154">
        <v>3.6166</v>
      </c>
      <c r="K154">
        <v>1.2279</v>
      </c>
      <c r="L154">
        <v>1.1913</v>
      </c>
      <c r="M154">
        <v>110.776</v>
      </c>
      <c r="N154">
        <v>6.569</v>
      </c>
      <c r="O154">
        <v>0.97019301199999997</v>
      </c>
      <c r="P154">
        <v>90.215815620000001</v>
      </c>
      <c r="Q154">
        <v>5.3497841839999998</v>
      </c>
      <c r="R154">
        <v>18188144</v>
      </c>
      <c r="S154">
        <v>65779559</v>
      </c>
      <c r="T154">
        <v>8839.81</v>
      </c>
      <c r="U154">
        <v>589.79999999999995</v>
      </c>
      <c r="W154">
        <v>8652990.3780000005</v>
      </c>
      <c r="X154">
        <v>28690286.399999999</v>
      </c>
      <c r="Y154">
        <v>763.15</v>
      </c>
      <c r="Z154">
        <v>808.17</v>
      </c>
      <c r="AA154">
        <v>225.02</v>
      </c>
      <c r="AB154">
        <v>331.89</v>
      </c>
      <c r="AC154">
        <v>90.54</v>
      </c>
      <c r="AD154">
        <v>2218.77</v>
      </c>
      <c r="AE154">
        <v>13912881</v>
      </c>
      <c r="AF154">
        <v>16937182</v>
      </c>
      <c r="AG154">
        <v>4623145</v>
      </c>
      <c r="AH154">
        <v>1503556</v>
      </c>
      <c r="AI154">
        <v>7259485</v>
      </c>
      <c r="AJ154">
        <v>44236249</v>
      </c>
      <c r="AK154">
        <v>1231</v>
      </c>
      <c r="AL154">
        <v>559</v>
      </c>
      <c r="AM154">
        <v>15</v>
      </c>
      <c r="AN154">
        <v>4148</v>
      </c>
      <c r="AO154">
        <v>299</v>
      </c>
      <c r="AP154">
        <v>6252</v>
      </c>
      <c r="AQ154">
        <v>20652974</v>
      </c>
      <c r="AR154">
        <v>8585097</v>
      </c>
      <c r="AS154">
        <v>281722</v>
      </c>
      <c r="AT154">
        <v>39258872</v>
      </c>
      <c r="AU154">
        <v>4995441</v>
      </c>
      <c r="AV154">
        <v>73774106</v>
      </c>
      <c r="AW154">
        <v>8.27</v>
      </c>
      <c r="AX154">
        <v>9.51</v>
      </c>
      <c r="AY154">
        <v>9.32</v>
      </c>
      <c r="AZ154">
        <v>2.0499999999999998</v>
      </c>
      <c r="BA154">
        <v>9.0399999999999991</v>
      </c>
      <c r="BB154">
        <v>7.61</v>
      </c>
      <c r="BC154">
        <v>6.97</v>
      </c>
      <c r="BD154">
        <v>8.52</v>
      </c>
      <c r="BE154">
        <v>4.29</v>
      </c>
      <c r="BF154">
        <v>5.35</v>
      </c>
      <c r="BG154">
        <v>0.34399999999999997</v>
      </c>
      <c r="BH154">
        <v>0.36420000000000002</v>
      </c>
      <c r="BI154">
        <v>0.1014</v>
      </c>
      <c r="BJ154">
        <v>0.14960000000000001</v>
      </c>
      <c r="BK154">
        <v>0.19689999999999999</v>
      </c>
      <c r="BL154">
        <v>8.9399999999999993E-2</v>
      </c>
      <c r="BM154">
        <v>2.3999999999999998E-3</v>
      </c>
      <c r="BN154">
        <v>0.66349999999999998</v>
      </c>
      <c r="BO154">
        <v>-2.44</v>
      </c>
      <c r="BP154">
        <v>1.24</v>
      </c>
      <c r="BQ154">
        <v>1.05</v>
      </c>
      <c r="BR154">
        <v>-6.21</v>
      </c>
      <c r="BS154">
        <v>8653194.5439999998</v>
      </c>
      <c r="BT154">
        <v>47913.01</v>
      </c>
      <c r="BU154">
        <v>10.5</v>
      </c>
      <c r="BV154">
        <v>170359.81</v>
      </c>
      <c r="BW154">
        <v>13.88</v>
      </c>
      <c r="BX154">
        <v>473545.76209999999</v>
      </c>
      <c r="BY154">
        <v>6.3536562679999999</v>
      </c>
      <c r="BZ154" s="5">
        <v>819057.66</v>
      </c>
      <c r="CA154" s="5">
        <v>8.2799999999999994</v>
      </c>
      <c r="CB154" s="5">
        <v>281713.52</v>
      </c>
      <c r="CC154" s="5">
        <v>9.15</v>
      </c>
    </row>
    <row r="155" spans="1:81" x14ac:dyDescent="0.2">
      <c r="A155" s="2">
        <v>43009</v>
      </c>
      <c r="B155">
        <v>2017</v>
      </c>
      <c r="C155">
        <v>10</v>
      </c>
      <c r="E155">
        <v>7.54</v>
      </c>
      <c r="F155">
        <v>15.5</v>
      </c>
      <c r="G155">
        <v>23.5</v>
      </c>
      <c r="H155">
        <v>4.13</v>
      </c>
      <c r="I155">
        <v>4.63</v>
      </c>
      <c r="J155">
        <v>3.7303999999999999</v>
      </c>
      <c r="K155">
        <v>1.2606999999999999</v>
      </c>
      <c r="L155">
        <v>1.1755</v>
      </c>
      <c r="M155">
        <v>112.9148</v>
      </c>
      <c r="N155">
        <v>6.6254</v>
      </c>
      <c r="O155">
        <v>0.93241849799999998</v>
      </c>
      <c r="P155">
        <v>89.565162209999997</v>
      </c>
      <c r="Q155">
        <v>5.2553343379999999</v>
      </c>
      <c r="R155">
        <v>19673583</v>
      </c>
      <c r="S155">
        <v>73390206</v>
      </c>
      <c r="T155">
        <v>10260.6</v>
      </c>
      <c r="U155">
        <v>1336.8</v>
      </c>
      <c r="W155">
        <v>3749047.74</v>
      </c>
      <c r="X155">
        <v>28950175.600000001</v>
      </c>
      <c r="Y155">
        <v>680.85</v>
      </c>
      <c r="Z155">
        <v>560.66999999999996</v>
      </c>
      <c r="AA155">
        <v>259.2</v>
      </c>
      <c r="AB155">
        <v>268.73</v>
      </c>
      <c r="AC155">
        <v>96.95</v>
      </c>
      <c r="AD155">
        <v>1866.4</v>
      </c>
      <c r="AE155">
        <v>12922407</v>
      </c>
      <c r="AF155">
        <v>11728086</v>
      </c>
      <c r="AG155">
        <v>5068175</v>
      </c>
      <c r="AH155">
        <v>1801477</v>
      </c>
      <c r="AI155">
        <v>6035621</v>
      </c>
      <c r="AJ155">
        <v>37555766</v>
      </c>
      <c r="AK155">
        <v>1382</v>
      </c>
      <c r="AL155">
        <v>612</v>
      </c>
      <c r="AM155">
        <v>20</v>
      </c>
      <c r="AN155">
        <v>5948</v>
      </c>
      <c r="AO155">
        <v>374</v>
      </c>
      <c r="AP155">
        <v>8336</v>
      </c>
      <c r="AQ155">
        <v>22221903</v>
      </c>
      <c r="AR155">
        <v>9337975</v>
      </c>
      <c r="AS155">
        <v>366314</v>
      </c>
      <c r="AT155">
        <v>57667790</v>
      </c>
      <c r="AU155">
        <v>6299140</v>
      </c>
      <c r="AV155">
        <v>95893122</v>
      </c>
      <c r="AW155">
        <v>8.61</v>
      </c>
      <c r="AX155">
        <v>9.49</v>
      </c>
      <c r="AY155">
        <v>8.8699999999999992</v>
      </c>
      <c r="AZ155">
        <v>3.04</v>
      </c>
      <c r="BA155">
        <v>9.1300000000000008</v>
      </c>
      <c r="BB155">
        <v>7.29</v>
      </c>
      <c r="BC155">
        <v>6.92</v>
      </c>
      <c r="BD155">
        <v>8.31</v>
      </c>
      <c r="BE155">
        <v>4.4000000000000004</v>
      </c>
      <c r="BF155">
        <v>5.22</v>
      </c>
      <c r="BG155">
        <v>0.36480000000000001</v>
      </c>
      <c r="BH155">
        <v>0.3004</v>
      </c>
      <c r="BI155">
        <v>0.1389</v>
      </c>
      <c r="BJ155">
        <v>0.14399999999999999</v>
      </c>
      <c r="BK155">
        <v>0.1658</v>
      </c>
      <c r="BL155">
        <v>7.3400000000000007E-2</v>
      </c>
      <c r="BM155">
        <v>2.3999999999999998E-3</v>
      </c>
      <c r="BN155">
        <v>0.71350000000000002</v>
      </c>
      <c r="BO155">
        <v>-2.4300000000000002</v>
      </c>
      <c r="BP155">
        <v>0.88</v>
      </c>
      <c r="BQ155">
        <v>0.26</v>
      </c>
      <c r="BR155">
        <v>-5.57</v>
      </c>
      <c r="BS155">
        <v>3749737.03</v>
      </c>
      <c r="BT155">
        <v>185452.63</v>
      </c>
      <c r="BU155">
        <v>16.88</v>
      </c>
      <c r="BV155">
        <v>3021286.21</v>
      </c>
      <c r="BW155">
        <v>11.95</v>
      </c>
      <c r="BX155">
        <v>309447.07709999999</v>
      </c>
      <c r="BY155">
        <v>6.3823546779999996</v>
      </c>
      <c r="BZ155" s="5">
        <v>793713.29</v>
      </c>
      <c r="CA155" s="5">
        <v>7.06</v>
      </c>
      <c r="CB155" s="5">
        <v>205254.94</v>
      </c>
      <c r="CC155" s="5">
        <v>8.4499999999999993</v>
      </c>
    </row>
    <row r="156" spans="1:81" x14ac:dyDescent="0.2">
      <c r="A156" s="2">
        <v>43040</v>
      </c>
      <c r="B156">
        <v>2017</v>
      </c>
      <c r="C156">
        <v>11</v>
      </c>
      <c r="E156">
        <v>6.93</v>
      </c>
      <c r="F156">
        <v>15.61</v>
      </c>
      <c r="G156">
        <v>23.17</v>
      </c>
      <c r="I156">
        <v>5.5</v>
      </c>
      <c r="J156">
        <v>3.8033999999999999</v>
      </c>
      <c r="K156">
        <v>1.2773000000000001</v>
      </c>
      <c r="L156">
        <v>1.1742999999999999</v>
      </c>
      <c r="M156">
        <v>112.819</v>
      </c>
      <c r="N156">
        <v>6.62</v>
      </c>
      <c r="O156">
        <v>0.91936115200000001</v>
      </c>
      <c r="P156">
        <v>88.326156740000002</v>
      </c>
      <c r="Q156">
        <v>5.1828074849999997</v>
      </c>
      <c r="R156">
        <v>14379535</v>
      </c>
      <c r="S156">
        <v>54690986</v>
      </c>
      <c r="T156">
        <v>9679.66</v>
      </c>
      <c r="U156">
        <v>3157.2</v>
      </c>
      <c r="W156">
        <v>4779256.6320000002</v>
      </c>
      <c r="X156">
        <v>29213060.100000001</v>
      </c>
      <c r="Y156">
        <v>1541.77</v>
      </c>
      <c r="Z156">
        <v>523.79999999999995</v>
      </c>
      <c r="AA156">
        <v>286.97000000000003</v>
      </c>
      <c r="AB156">
        <v>265.54000000000002</v>
      </c>
      <c r="AC156">
        <v>82.83</v>
      </c>
      <c r="AD156">
        <v>2700.91</v>
      </c>
      <c r="AE156">
        <v>27435611</v>
      </c>
      <c r="AF156">
        <v>10313482</v>
      </c>
      <c r="AG156">
        <v>5257885</v>
      </c>
      <c r="AH156">
        <v>1379037</v>
      </c>
      <c r="AI156">
        <v>6074597</v>
      </c>
      <c r="AJ156">
        <v>50460612</v>
      </c>
      <c r="AK156">
        <v>1236</v>
      </c>
      <c r="AL156">
        <v>590</v>
      </c>
      <c r="AM156">
        <v>24</v>
      </c>
      <c r="AN156">
        <v>3490</v>
      </c>
      <c r="AO156">
        <v>407</v>
      </c>
      <c r="AP156">
        <v>5747</v>
      </c>
      <c r="AQ156">
        <v>20671216</v>
      </c>
      <c r="AR156">
        <v>8708101</v>
      </c>
      <c r="AS156">
        <v>431933</v>
      </c>
      <c r="AT156">
        <v>35199222</v>
      </c>
      <c r="AU156">
        <v>6787967</v>
      </c>
      <c r="AV156">
        <v>71798439</v>
      </c>
      <c r="AW156">
        <v>8.07</v>
      </c>
      <c r="AX156">
        <v>8.93</v>
      </c>
      <c r="AY156">
        <v>8.31</v>
      </c>
      <c r="AZ156">
        <v>2.36</v>
      </c>
      <c r="BA156">
        <v>8.4700000000000006</v>
      </c>
      <c r="BB156">
        <v>7.59</v>
      </c>
      <c r="BC156">
        <v>6.69</v>
      </c>
      <c r="BD156">
        <v>8.16</v>
      </c>
      <c r="BE156">
        <v>4.57</v>
      </c>
      <c r="BF156">
        <v>5.67</v>
      </c>
      <c r="BG156">
        <v>0.57079999999999997</v>
      </c>
      <c r="BH156">
        <v>0.19389999999999999</v>
      </c>
      <c r="BI156">
        <v>0.1062</v>
      </c>
      <c r="BJ156">
        <v>9.8299999999999998E-2</v>
      </c>
      <c r="BK156">
        <v>0.21510000000000001</v>
      </c>
      <c r="BL156">
        <v>0.1027</v>
      </c>
      <c r="BM156">
        <v>4.1999999999999997E-3</v>
      </c>
      <c r="BN156">
        <v>0.60729999999999995</v>
      </c>
      <c r="BO156">
        <v>-1.74</v>
      </c>
      <c r="BP156">
        <v>0.86</v>
      </c>
      <c r="BQ156">
        <v>0.24</v>
      </c>
      <c r="BR156">
        <v>-5.72</v>
      </c>
      <c r="BS156">
        <v>4780318.915</v>
      </c>
      <c r="BT156">
        <v>75801.45</v>
      </c>
      <c r="BU156">
        <v>3.96</v>
      </c>
      <c r="BV156">
        <v>114541.03</v>
      </c>
      <c r="BW156">
        <v>12.61</v>
      </c>
      <c r="BX156">
        <v>218279.42619999999</v>
      </c>
      <c r="BY156">
        <v>6.5855175859999999</v>
      </c>
      <c r="BZ156" s="5">
        <v>476362.02</v>
      </c>
      <c r="CA156" s="5">
        <v>7.52</v>
      </c>
      <c r="CB156" s="5">
        <v>61037.23</v>
      </c>
      <c r="CC156" s="5">
        <v>5.22</v>
      </c>
    </row>
    <row r="157" spans="1:81" x14ac:dyDescent="0.2">
      <c r="A157" s="2">
        <v>43070</v>
      </c>
      <c r="B157">
        <v>2017</v>
      </c>
      <c r="C157">
        <v>12</v>
      </c>
      <c r="E157">
        <v>6.73</v>
      </c>
      <c r="F157">
        <v>15.88</v>
      </c>
      <c r="G157">
        <v>22.16</v>
      </c>
      <c r="I157">
        <v>6.13</v>
      </c>
      <c r="J157">
        <v>4.2850000000000001</v>
      </c>
      <c r="K157">
        <v>1.2768999999999999</v>
      </c>
      <c r="L157">
        <v>1.1836</v>
      </c>
      <c r="M157">
        <v>112.9405</v>
      </c>
      <c r="N157">
        <v>6.5932000000000004</v>
      </c>
      <c r="O157">
        <v>0.92693241400000004</v>
      </c>
      <c r="P157">
        <v>88.448977990000003</v>
      </c>
      <c r="Q157">
        <v>5.1634427130000002</v>
      </c>
      <c r="R157">
        <v>5156238</v>
      </c>
      <c r="S157">
        <v>22094709</v>
      </c>
      <c r="T157">
        <v>25025.63</v>
      </c>
      <c r="U157">
        <v>22686.799999999999</v>
      </c>
      <c r="W157">
        <v>22321475.25</v>
      </c>
      <c r="X157">
        <v>29478968.899999999</v>
      </c>
      <c r="Y157">
        <v>5137.3500000000004</v>
      </c>
      <c r="Z157">
        <v>913.69</v>
      </c>
      <c r="AA157">
        <v>1218.73</v>
      </c>
      <c r="AB157">
        <v>565.04999999999995</v>
      </c>
      <c r="AC157">
        <v>116.4</v>
      </c>
      <c r="AD157">
        <v>7951.22</v>
      </c>
      <c r="AE157">
        <v>91494179</v>
      </c>
      <c r="AF157">
        <v>17771672</v>
      </c>
      <c r="AG157">
        <v>22020897</v>
      </c>
      <c r="AH157">
        <v>1817505</v>
      </c>
      <c r="AI157">
        <v>11480781</v>
      </c>
      <c r="AJ157">
        <v>144585034</v>
      </c>
      <c r="AK157">
        <v>1432</v>
      </c>
      <c r="AL157">
        <v>1384</v>
      </c>
      <c r="AM157">
        <v>39</v>
      </c>
      <c r="AN157">
        <v>882</v>
      </c>
      <c r="AO157">
        <v>546</v>
      </c>
      <c r="AP157">
        <v>4283</v>
      </c>
      <c r="AQ157">
        <v>23988123</v>
      </c>
      <c r="AR157">
        <v>20715621</v>
      </c>
      <c r="AS157">
        <v>660299</v>
      </c>
      <c r="AT157">
        <v>8298429</v>
      </c>
      <c r="AU157">
        <v>9127762</v>
      </c>
      <c r="AV157">
        <v>62790234</v>
      </c>
      <c r="AW157">
        <v>8.08</v>
      </c>
      <c r="AX157">
        <v>8.82</v>
      </c>
      <c r="AY157">
        <v>8.1999999999999993</v>
      </c>
      <c r="AZ157">
        <v>1.46</v>
      </c>
      <c r="BA157">
        <v>8.25</v>
      </c>
      <c r="BB157">
        <v>7.6</v>
      </c>
      <c r="BC157">
        <v>6.79</v>
      </c>
      <c r="BD157">
        <v>7.68</v>
      </c>
      <c r="BE157">
        <v>4.2699999999999996</v>
      </c>
      <c r="BF157">
        <v>6.65</v>
      </c>
      <c r="BG157">
        <v>0.64610000000000001</v>
      </c>
      <c r="BH157">
        <v>0.1149</v>
      </c>
      <c r="BI157">
        <v>0.15329999999999999</v>
      </c>
      <c r="BJ157">
        <v>7.1099999999999997E-2</v>
      </c>
      <c r="BK157">
        <v>0.33429999999999999</v>
      </c>
      <c r="BL157">
        <v>0.3231</v>
      </c>
      <c r="BM157">
        <v>9.1000000000000004E-3</v>
      </c>
      <c r="BN157">
        <v>0.2059</v>
      </c>
      <c r="BO157">
        <v>-2.06</v>
      </c>
      <c r="BP157">
        <v>0.74</v>
      </c>
      <c r="BQ157">
        <v>0.12</v>
      </c>
      <c r="BR157">
        <v>-6.62</v>
      </c>
      <c r="BS157">
        <v>22321811.940000001</v>
      </c>
      <c r="BT157">
        <v>309167.09000000003</v>
      </c>
      <c r="BU157">
        <v>12.72</v>
      </c>
      <c r="BV157">
        <v>4955963.71</v>
      </c>
      <c r="BW157">
        <v>12.08</v>
      </c>
      <c r="BX157">
        <v>129508.1973</v>
      </c>
      <c r="BY157">
        <v>5.9534841519999997</v>
      </c>
      <c r="BZ157" s="5">
        <v>354735.09</v>
      </c>
      <c r="CA157" s="5">
        <v>9.4</v>
      </c>
      <c r="CB157" s="5">
        <v>10747.54</v>
      </c>
      <c r="CC157" s="5">
        <v>7.97</v>
      </c>
    </row>
    <row r="158" spans="1:81" x14ac:dyDescent="0.2">
      <c r="A158" s="2">
        <v>43101</v>
      </c>
      <c r="B158">
        <v>2018</v>
      </c>
      <c r="C158">
        <v>1</v>
      </c>
      <c r="E158">
        <v>7.58</v>
      </c>
      <c r="F158">
        <v>16.47</v>
      </c>
      <c r="G158">
        <v>21.53</v>
      </c>
      <c r="I158">
        <v>6.5</v>
      </c>
      <c r="J158">
        <v>5.5864000000000003</v>
      </c>
      <c r="K158">
        <v>1.2428999999999999</v>
      </c>
      <c r="L158">
        <v>1.2197</v>
      </c>
      <c r="M158">
        <v>110.871</v>
      </c>
      <c r="N158">
        <v>6.4233000000000002</v>
      </c>
      <c r="O158">
        <v>0.98133397700000002</v>
      </c>
      <c r="P158">
        <v>89.203475740000002</v>
      </c>
      <c r="Q158">
        <v>5.1679942069999996</v>
      </c>
      <c r="R158">
        <v>2535614</v>
      </c>
      <c r="S158">
        <v>14165069</v>
      </c>
      <c r="T158">
        <v>9700.24</v>
      </c>
      <c r="U158">
        <v>8550.1</v>
      </c>
      <c r="W158">
        <v>18054019.870000001</v>
      </c>
      <c r="X158">
        <v>29747931.899999999</v>
      </c>
      <c r="Y158">
        <v>2489.48</v>
      </c>
      <c r="Z158">
        <v>1181.1400000000001</v>
      </c>
      <c r="AA158">
        <v>251.37</v>
      </c>
      <c r="AB158">
        <v>537.32000000000005</v>
      </c>
      <c r="AC158">
        <v>88.66</v>
      </c>
      <c r="AD158">
        <v>4547.97</v>
      </c>
      <c r="AE158">
        <v>47144012</v>
      </c>
      <c r="AF158">
        <v>22228735</v>
      </c>
      <c r="AG158">
        <v>4996092</v>
      </c>
      <c r="AH158">
        <v>1430106</v>
      </c>
      <c r="AI158">
        <v>10864334</v>
      </c>
      <c r="AJ158">
        <v>86663279</v>
      </c>
      <c r="AK158">
        <v>1541</v>
      </c>
      <c r="AL158">
        <v>282</v>
      </c>
      <c r="AM158">
        <v>14</v>
      </c>
      <c r="AN158">
        <v>102</v>
      </c>
      <c r="AO158">
        <v>428</v>
      </c>
      <c r="AP158">
        <v>2367</v>
      </c>
      <c r="AQ158">
        <v>24590368</v>
      </c>
      <c r="AR158">
        <v>4492758</v>
      </c>
      <c r="AS158">
        <v>240035</v>
      </c>
      <c r="AT158">
        <v>1085092</v>
      </c>
      <c r="AU158">
        <v>7248641</v>
      </c>
      <c r="AV158">
        <v>37656894</v>
      </c>
      <c r="AW158">
        <v>8.59</v>
      </c>
      <c r="AX158">
        <v>8.5399999999999991</v>
      </c>
      <c r="AY158">
        <v>9.02</v>
      </c>
      <c r="AZ158">
        <v>1.21</v>
      </c>
      <c r="BA158">
        <v>8.64</v>
      </c>
      <c r="BB158">
        <v>7.24</v>
      </c>
      <c r="BC158">
        <v>7.23</v>
      </c>
      <c r="BD158">
        <v>7.78</v>
      </c>
      <c r="BE158">
        <v>4.83</v>
      </c>
      <c r="BF158">
        <v>7.22</v>
      </c>
      <c r="BG158">
        <v>0.5474</v>
      </c>
      <c r="BH158">
        <v>0.25969999999999999</v>
      </c>
      <c r="BI158">
        <v>5.5300000000000002E-2</v>
      </c>
      <c r="BJ158">
        <v>0.1181</v>
      </c>
      <c r="BK158">
        <v>0.65100000000000002</v>
      </c>
      <c r="BL158">
        <v>0.1191</v>
      </c>
      <c r="BM158">
        <v>5.8999999999999999E-3</v>
      </c>
      <c r="BN158">
        <v>4.3099999999999999E-2</v>
      </c>
      <c r="BO158">
        <v>-2.09</v>
      </c>
      <c r="BP158">
        <v>-0.05</v>
      </c>
      <c r="BQ158">
        <v>0.43</v>
      </c>
      <c r="BR158">
        <v>-7.38</v>
      </c>
      <c r="BS158">
        <v>18054805.420000002</v>
      </c>
      <c r="BT158">
        <v>40366.589999999997</v>
      </c>
      <c r="BU158">
        <v>9.76</v>
      </c>
      <c r="BV158">
        <v>116573.69</v>
      </c>
      <c r="BW158">
        <v>14.86</v>
      </c>
      <c r="BX158">
        <v>176565.8112</v>
      </c>
      <c r="BY158">
        <v>6.4218774429999996</v>
      </c>
      <c r="BZ158" s="5">
        <v>72318.289999999994</v>
      </c>
      <c r="CA158" s="5">
        <v>12.75</v>
      </c>
      <c r="CB158" s="5">
        <v>18518.849999999999</v>
      </c>
      <c r="CC158" s="5">
        <v>7.93</v>
      </c>
    </row>
    <row r="159" spans="1:81" x14ac:dyDescent="0.2">
      <c r="A159" s="2">
        <v>43132</v>
      </c>
      <c r="B159">
        <v>2018</v>
      </c>
      <c r="C159">
        <v>2</v>
      </c>
      <c r="E159">
        <v>8.2200000000000006</v>
      </c>
      <c r="F159">
        <v>17</v>
      </c>
      <c r="G159">
        <v>21.25</v>
      </c>
      <c r="J159">
        <v>6.3612000000000002</v>
      </c>
      <c r="K159">
        <v>1.2587999999999999</v>
      </c>
      <c r="L159">
        <v>1.234</v>
      </c>
      <c r="M159">
        <v>107.97</v>
      </c>
      <c r="N159">
        <v>6.3182999999999998</v>
      </c>
      <c r="O159">
        <v>0.98029869700000005</v>
      </c>
      <c r="P159">
        <v>85.772163969999994</v>
      </c>
      <c r="Q159">
        <v>5.0193040990000002</v>
      </c>
      <c r="R159">
        <v>1506909</v>
      </c>
      <c r="S159">
        <v>9585768</v>
      </c>
      <c r="T159">
        <v>836.07</v>
      </c>
      <c r="U159">
        <v>152.55000000000001</v>
      </c>
      <c r="W159">
        <v>13151752.93</v>
      </c>
      <c r="X159">
        <v>30019979.300000001</v>
      </c>
      <c r="Y159">
        <v>3116.49</v>
      </c>
      <c r="Z159">
        <v>1305</v>
      </c>
      <c r="AA159">
        <v>274.27</v>
      </c>
      <c r="AB159">
        <v>380.23</v>
      </c>
      <c r="AC159">
        <v>76.73</v>
      </c>
      <c r="AD159">
        <v>5152.72</v>
      </c>
      <c r="AE159">
        <v>62736958</v>
      </c>
      <c r="AF159">
        <v>25442770</v>
      </c>
      <c r="AG159">
        <v>5679003</v>
      </c>
      <c r="AH159">
        <v>1201982</v>
      </c>
      <c r="AI159">
        <v>7748520</v>
      </c>
      <c r="AJ159">
        <v>102809233</v>
      </c>
      <c r="AK159">
        <v>1680</v>
      </c>
      <c r="AL159">
        <v>211</v>
      </c>
      <c r="AM159">
        <v>14</v>
      </c>
      <c r="AN159">
        <v>66</v>
      </c>
      <c r="AO159">
        <v>379</v>
      </c>
      <c r="AP159">
        <v>2350</v>
      </c>
      <c r="AQ159">
        <v>27985912</v>
      </c>
      <c r="AR159">
        <v>3577016</v>
      </c>
      <c r="AS159">
        <v>257046</v>
      </c>
      <c r="AT159">
        <v>982680</v>
      </c>
      <c r="AU159">
        <v>6402696</v>
      </c>
      <c r="AV159">
        <v>39205350</v>
      </c>
      <c r="AW159">
        <v>9.1300000000000008</v>
      </c>
      <c r="AX159">
        <v>8.84</v>
      </c>
      <c r="AY159">
        <v>9.39</v>
      </c>
      <c r="AZ159">
        <v>1.43</v>
      </c>
      <c r="BA159">
        <v>9.0500000000000007</v>
      </c>
      <c r="BB159">
        <v>7.56</v>
      </c>
      <c r="BC159">
        <v>7.69</v>
      </c>
      <c r="BD159">
        <v>8.33</v>
      </c>
      <c r="BE159">
        <v>6.75</v>
      </c>
      <c r="BF159">
        <v>7.57</v>
      </c>
      <c r="BG159">
        <v>0.6048</v>
      </c>
      <c r="BH159">
        <v>0.25330000000000003</v>
      </c>
      <c r="BI159">
        <v>5.3199999999999997E-2</v>
      </c>
      <c r="BJ159">
        <v>7.3800000000000004E-2</v>
      </c>
      <c r="BK159">
        <v>0.71489999999999998</v>
      </c>
      <c r="BL159">
        <v>8.9800000000000005E-2</v>
      </c>
      <c r="BM159">
        <v>6.0000000000000001E-3</v>
      </c>
      <c r="BN159">
        <v>2.81E-2</v>
      </c>
      <c r="BO159">
        <v>-0.5</v>
      </c>
      <c r="BP159">
        <v>-0.28999999999999998</v>
      </c>
      <c r="BQ159">
        <v>0.26</v>
      </c>
      <c r="BR159">
        <v>-7.7</v>
      </c>
      <c r="BS159">
        <v>13151609.98</v>
      </c>
      <c r="BT159">
        <v>82472.63</v>
      </c>
      <c r="BU159">
        <v>16.21</v>
      </c>
      <c r="BV159">
        <v>120429.57</v>
      </c>
      <c r="BW159">
        <v>12.78</v>
      </c>
      <c r="BX159">
        <v>97878.514139999999</v>
      </c>
      <c r="BY159">
        <v>5.1422419359999996</v>
      </c>
      <c r="BZ159" s="5">
        <v>205340.92</v>
      </c>
      <c r="CA159" s="5">
        <v>6</v>
      </c>
      <c r="CB159" s="5">
        <v>0</v>
      </c>
      <c r="CC159" s="5">
        <v>0</v>
      </c>
    </row>
    <row r="160" spans="1:81" x14ac:dyDescent="0.2">
      <c r="A160" s="2">
        <v>43160</v>
      </c>
      <c r="B160">
        <v>2018</v>
      </c>
      <c r="C160">
        <v>3</v>
      </c>
      <c r="E160">
        <v>11.28</v>
      </c>
      <c r="F160">
        <v>17.579999999999998</v>
      </c>
      <c r="G160">
        <v>21.14</v>
      </c>
      <c r="J160">
        <v>9.3714999999999993</v>
      </c>
      <c r="K160">
        <v>1.2932999999999999</v>
      </c>
      <c r="L160">
        <v>1.2334000000000001</v>
      </c>
      <c r="M160">
        <v>106.0468</v>
      </c>
      <c r="N160">
        <v>6.3174000000000001</v>
      </c>
      <c r="O160">
        <v>0.95368437299999997</v>
      </c>
      <c r="P160">
        <v>81.997061779999996</v>
      </c>
      <c r="Q160">
        <v>4.8847135240000004</v>
      </c>
      <c r="R160">
        <v>1301995</v>
      </c>
      <c r="S160">
        <v>12201670</v>
      </c>
      <c r="T160">
        <v>743.13</v>
      </c>
      <c r="U160">
        <v>152.55000000000001</v>
      </c>
      <c r="W160">
        <v>6998177.7790000001</v>
      </c>
      <c r="X160">
        <v>30295141.899999999</v>
      </c>
      <c r="Y160">
        <v>1756.05</v>
      </c>
      <c r="Z160">
        <v>526.67999999999995</v>
      </c>
      <c r="AA160">
        <v>245.6</v>
      </c>
      <c r="AB160">
        <v>268.70999999999998</v>
      </c>
      <c r="AC160">
        <v>91.3</v>
      </c>
      <c r="AD160">
        <v>2888.34</v>
      </c>
      <c r="AE160">
        <v>38930345</v>
      </c>
      <c r="AF160">
        <v>11287515</v>
      </c>
      <c r="AG160">
        <v>4894843</v>
      </c>
      <c r="AH160">
        <v>1673800</v>
      </c>
      <c r="AI160">
        <v>5844579</v>
      </c>
      <c r="AJ160">
        <v>62631082</v>
      </c>
      <c r="AK160">
        <v>745</v>
      </c>
      <c r="AL160">
        <v>243</v>
      </c>
      <c r="AM160">
        <v>15</v>
      </c>
      <c r="AN160">
        <v>72</v>
      </c>
      <c r="AO160">
        <v>273</v>
      </c>
      <c r="AP160">
        <v>1348</v>
      </c>
      <c r="AQ160">
        <v>12216444</v>
      </c>
      <c r="AR160">
        <v>4338950</v>
      </c>
      <c r="AS160">
        <v>303139</v>
      </c>
      <c r="AT160">
        <v>1428598</v>
      </c>
      <c r="AU160">
        <v>4696651</v>
      </c>
      <c r="AV160">
        <v>22983782</v>
      </c>
      <c r="AW160">
        <v>10.06</v>
      </c>
      <c r="AX160">
        <v>9.7200000000000006</v>
      </c>
      <c r="AY160">
        <v>9.0399999999999991</v>
      </c>
      <c r="AZ160">
        <v>2.83</v>
      </c>
      <c r="BA160">
        <v>9.84</v>
      </c>
      <c r="BB160">
        <v>7.44</v>
      </c>
      <c r="BC160">
        <v>8.1</v>
      </c>
      <c r="BD160">
        <v>9.17</v>
      </c>
      <c r="BE160">
        <v>9</v>
      </c>
      <c r="BF160">
        <v>7.73</v>
      </c>
      <c r="BG160">
        <v>0.60799999999999998</v>
      </c>
      <c r="BH160">
        <v>0.18229999999999999</v>
      </c>
      <c r="BI160">
        <v>8.5000000000000006E-2</v>
      </c>
      <c r="BJ160">
        <v>9.2999999999999999E-2</v>
      </c>
      <c r="BK160">
        <v>0.55269999999999997</v>
      </c>
      <c r="BL160">
        <v>0.18029999999999999</v>
      </c>
      <c r="BM160">
        <v>1.11E-2</v>
      </c>
      <c r="BN160">
        <v>5.3400000000000003E-2</v>
      </c>
      <c r="BO160">
        <v>1.22</v>
      </c>
      <c r="BP160">
        <v>-0.34</v>
      </c>
      <c r="BQ160">
        <v>-1.02</v>
      </c>
      <c r="BR160">
        <v>-7.23</v>
      </c>
      <c r="BS160">
        <v>6996735.1529999999</v>
      </c>
      <c r="BT160">
        <v>24100.91</v>
      </c>
      <c r="BU160">
        <v>1.2</v>
      </c>
      <c r="BV160">
        <v>3716147.16</v>
      </c>
      <c r="BW160">
        <v>12.18</v>
      </c>
      <c r="BX160">
        <v>104450.48639999999</v>
      </c>
      <c r="BY160">
        <v>5.8966599530000003</v>
      </c>
      <c r="BZ160" s="5">
        <v>76158.75</v>
      </c>
      <c r="CA160" s="5">
        <v>10.67</v>
      </c>
      <c r="CB160" s="5">
        <v>19336.759999999998</v>
      </c>
      <c r="CC160" s="5">
        <v>7.71</v>
      </c>
    </row>
    <row r="161" spans="1:81" x14ac:dyDescent="0.2">
      <c r="A161" s="2">
        <v>43191</v>
      </c>
      <c r="B161">
        <v>2018</v>
      </c>
      <c r="C161">
        <v>4</v>
      </c>
      <c r="E161">
        <v>10.49</v>
      </c>
      <c r="F161">
        <v>18.16</v>
      </c>
      <c r="G161">
        <v>20.72</v>
      </c>
      <c r="J161">
        <v>8.0869999999999997</v>
      </c>
      <c r="K161">
        <v>1.2732000000000001</v>
      </c>
      <c r="L161">
        <v>1.2270000000000001</v>
      </c>
      <c r="M161">
        <v>107.6562</v>
      </c>
      <c r="N161">
        <v>6.2967000000000004</v>
      </c>
      <c r="O161">
        <v>0.96371347799999996</v>
      </c>
      <c r="P161">
        <v>84.55560792</v>
      </c>
      <c r="Q161">
        <v>4.9455702170000002</v>
      </c>
      <c r="R161">
        <v>1631224</v>
      </c>
      <c r="S161">
        <v>13191627</v>
      </c>
      <c r="T161">
        <v>1767.23</v>
      </c>
      <c r="U161">
        <v>1027.32</v>
      </c>
      <c r="W161">
        <v>3020656.9789999998</v>
      </c>
      <c r="X161">
        <v>30573451.199999999</v>
      </c>
      <c r="Y161">
        <v>1950.04</v>
      </c>
      <c r="Z161">
        <v>563.52</v>
      </c>
      <c r="AA161">
        <v>250.36</v>
      </c>
      <c r="AB161">
        <v>269.11</v>
      </c>
      <c r="AC161">
        <v>71.319999999999993</v>
      </c>
      <c r="AD161">
        <v>3104.35</v>
      </c>
      <c r="AE161">
        <v>42664693</v>
      </c>
      <c r="AF161">
        <v>11702533</v>
      </c>
      <c r="AG161">
        <v>5073071</v>
      </c>
      <c r="AH161">
        <v>1483530</v>
      </c>
      <c r="AI161">
        <v>5709194</v>
      </c>
      <c r="AJ161">
        <v>66633021</v>
      </c>
      <c r="AK161">
        <v>611</v>
      </c>
      <c r="AL161">
        <v>252</v>
      </c>
      <c r="AM161">
        <v>29</v>
      </c>
      <c r="AN161">
        <v>6</v>
      </c>
      <c r="AO161">
        <v>315</v>
      </c>
      <c r="AP161">
        <v>1213</v>
      </c>
      <c r="AQ161">
        <v>10960942</v>
      </c>
      <c r="AR161">
        <v>4432171</v>
      </c>
      <c r="AS161">
        <v>509526</v>
      </c>
      <c r="AT161">
        <v>104956</v>
      </c>
      <c r="AU161">
        <v>5547052</v>
      </c>
      <c r="AV161">
        <v>21554647</v>
      </c>
      <c r="AW161">
        <v>9.92</v>
      </c>
      <c r="AX161">
        <v>9.42</v>
      </c>
      <c r="AY161">
        <v>9.19</v>
      </c>
      <c r="AZ161">
        <v>2.5</v>
      </c>
      <c r="BA161">
        <v>9.74</v>
      </c>
      <c r="BB161">
        <v>8.14</v>
      </c>
      <c r="BC161">
        <v>7.98</v>
      </c>
      <c r="BD161">
        <v>7.97</v>
      </c>
      <c r="BE161">
        <v>7.93</v>
      </c>
      <c r="BF161">
        <v>8.06</v>
      </c>
      <c r="BG161">
        <v>0.62819999999999998</v>
      </c>
      <c r="BH161">
        <v>0.18149999999999999</v>
      </c>
      <c r="BI161">
        <v>8.0600000000000005E-2</v>
      </c>
      <c r="BJ161">
        <v>8.6699999999999999E-2</v>
      </c>
      <c r="BK161">
        <v>0.50370000000000004</v>
      </c>
      <c r="BL161">
        <v>0.2077</v>
      </c>
      <c r="BM161">
        <v>2.3900000000000001E-2</v>
      </c>
      <c r="BN161">
        <v>4.8999999999999998E-3</v>
      </c>
      <c r="BO161">
        <v>0.14000000000000001</v>
      </c>
      <c r="BP161">
        <v>-0.5</v>
      </c>
      <c r="BQ161">
        <v>-0.73</v>
      </c>
      <c r="BR161">
        <v>-7.42</v>
      </c>
      <c r="BS161">
        <v>3020948.1540000001</v>
      </c>
      <c r="BT161">
        <v>146940.13</v>
      </c>
      <c r="BU161">
        <v>11.97</v>
      </c>
      <c r="BV161">
        <v>110061.24</v>
      </c>
      <c r="BW161">
        <v>8.4600000000000009</v>
      </c>
      <c r="BX161">
        <v>280189.565</v>
      </c>
      <c r="BY161">
        <v>5.6768245449999997</v>
      </c>
      <c r="BZ161" s="5">
        <v>115925.77</v>
      </c>
      <c r="CA161" s="5">
        <v>5.77</v>
      </c>
      <c r="CB161" s="5">
        <v>0</v>
      </c>
      <c r="CC161" s="5">
        <v>0</v>
      </c>
    </row>
    <row r="162" spans="1:81" x14ac:dyDescent="0.2">
      <c r="A162" s="2">
        <v>43221</v>
      </c>
      <c r="B162">
        <v>2018</v>
      </c>
      <c r="C162">
        <v>5</v>
      </c>
      <c r="E162">
        <v>7.06</v>
      </c>
      <c r="F162">
        <v>18.23</v>
      </c>
      <c r="G162">
        <v>20.5</v>
      </c>
      <c r="H162">
        <v>5.28</v>
      </c>
      <c r="I162">
        <v>6.44</v>
      </c>
      <c r="J162">
        <v>5.359</v>
      </c>
      <c r="K162">
        <v>1.2866</v>
      </c>
      <c r="L162">
        <v>1.1822999999999999</v>
      </c>
      <c r="M162">
        <v>109.68819999999999</v>
      </c>
      <c r="N162">
        <v>6.3700999999999999</v>
      </c>
      <c r="O162">
        <v>0.918933624</v>
      </c>
      <c r="P162">
        <v>85.254313699999997</v>
      </c>
      <c r="Q162">
        <v>4.9511114569999997</v>
      </c>
      <c r="R162">
        <v>2648213</v>
      </c>
      <c r="S162">
        <v>14191746</v>
      </c>
      <c r="T162">
        <v>33848.559999999998</v>
      </c>
      <c r="U162">
        <v>32647.35</v>
      </c>
      <c r="W162">
        <v>5310135.0020000003</v>
      </c>
      <c r="X162">
        <v>30854939</v>
      </c>
      <c r="Y162">
        <v>4253.13</v>
      </c>
      <c r="Z162">
        <v>1046.69</v>
      </c>
      <c r="AA162">
        <v>400.88</v>
      </c>
      <c r="AB162">
        <v>314.69</v>
      </c>
      <c r="AC162">
        <v>79.91</v>
      </c>
      <c r="AD162">
        <v>6095.3</v>
      </c>
      <c r="AE162">
        <v>74768829</v>
      </c>
      <c r="AF162">
        <v>20733322</v>
      </c>
      <c r="AG162">
        <v>7431120</v>
      </c>
      <c r="AH162">
        <v>1336243</v>
      </c>
      <c r="AI162">
        <v>7025222</v>
      </c>
      <c r="AJ162">
        <v>111294736</v>
      </c>
      <c r="AK162">
        <v>888</v>
      </c>
      <c r="AL162">
        <v>333</v>
      </c>
      <c r="AM162">
        <v>15</v>
      </c>
      <c r="AN162">
        <v>11</v>
      </c>
      <c r="AO162">
        <v>299</v>
      </c>
      <c r="AP162">
        <v>1546</v>
      </c>
      <c r="AQ162">
        <v>14323254</v>
      </c>
      <c r="AR162">
        <v>5612812</v>
      </c>
      <c r="AS162">
        <v>266737</v>
      </c>
      <c r="AT162">
        <v>159128</v>
      </c>
      <c r="AU162">
        <v>5160977</v>
      </c>
      <c r="AV162">
        <v>25522908</v>
      </c>
      <c r="AW162">
        <v>7.97</v>
      </c>
      <c r="AX162">
        <v>8.98</v>
      </c>
      <c r="AY162">
        <v>8.41</v>
      </c>
      <c r="AZ162">
        <v>1.93</v>
      </c>
      <c r="BA162">
        <v>8.2799999999999994</v>
      </c>
      <c r="BB162">
        <v>7.32</v>
      </c>
      <c r="BC162">
        <v>7.65</v>
      </c>
      <c r="BD162">
        <v>8.07</v>
      </c>
      <c r="BE162">
        <v>6.56</v>
      </c>
      <c r="BF162">
        <v>7.49</v>
      </c>
      <c r="BG162">
        <v>0.69779999999999998</v>
      </c>
      <c r="BH162">
        <v>0.17169999999999999</v>
      </c>
      <c r="BI162">
        <v>6.5799999999999997E-2</v>
      </c>
      <c r="BJ162">
        <v>5.16E-2</v>
      </c>
      <c r="BK162">
        <v>0.57440000000000002</v>
      </c>
      <c r="BL162">
        <v>0.21540000000000001</v>
      </c>
      <c r="BM162">
        <v>9.7000000000000003E-3</v>
      </c>
      <c r="BN162">
        <v>7.1000000000000004E-3</v>
      </c>
      <c r="BO162">
        <v>0.36</v>
      </c>
      <c r="BP162">
        <v>1.01</v>
      </c>
      <c r="BQ162">
        <v>0.43</v>
      </c>
      <c r="BR162">
        <v>-6.05</v>
      </c>
      <c r="BS162">
        <v>5309009.5310000004</v>
      </c>
      <c r="BT162">
        <v>101377.25</v>
      </c>
      <c r="BU162">
        <v>5.89</v>
      </c>
      <c r="BV162">
        <v>4485019.4000000004</v>
      </c>
      <c r="BW162">
        <v>10.199999999999999</v>
      </c>
      <c r="BX162">
        <v>37000.137459999998</v>
      </c>
      <c r="BY162">
        <v>5.9802480530000004</v>
      </c>
      <c r="BZ162" s="5">
        <v>314950.44</v>
      </c>
      <c r="CA162" s="5">
        <v>5.76</v>
      </c>
      <c r="CB162" s="5">
        <v>76877.460000000006</v>
      </c>
      <c r="CC162" s="5">
        <v>7.56</v>
      </c>
    </row>
    <row r="163" spans="1:81" x14ac:dyDescent="0.2">
      <c r="A163" s="2">
        <v>43252</v>
      </c>
      <c r="B163">
        <v>2018</v>
      </c>
      <c r="C163">
        <v>6</v>
      </c>
      <c r="E163">
        <v>6.57</v>
      </c>
      <c r="F163">
        <v>17.75</v>
      </c>
      <c r="G163">
        <v>20</v>
      </c>
      <c r="H163">
        <v>5.0599999999999996</v>
      </c>
      <c r="I163">
        <v>6.04</v>
      </c>
      <c r="J163">
        <v>4.7515000000000001</v>
      </c>
      <c r="K163">
        <v>1.3125</v>
      </c>
      <c r="L163">
        <v>1.1678999999999999</v>
      </c>
      <c r="M163">
        <v>110.0638</v>
      </c>
      <c r="N163">
        <v>6.4650999999999996</v>
      </c>
      <c r="O163">
        <v>0.88982857100000001</v>
      </c>
      <c r="P163">
        <v>83.858133330000001</v>
      </c>
      <c r="Q163">
        <v>4.9257904760000004</v>
      </c>
      <c r="R163">
        <v>3406083</v>
      </c>
      <c r="S163">
        <v>16183937</v>
      </c>
      <c r="T163">
        <v>22844.58</v>
      </c>
      <c r="U163">
        <v>21299.599999999999</v>
      </c>
      <c r="W163">
        <v>23423235.629999999</v>
      </c>
      <c r="X163">
        <v>31139637.899999999</v>
      </c>
      <c r="Y163">
        <v>4481.55</v>
      </c>
      <c r="Z163">
        <v>920.83</v>
      </c>
      <c r="AA163">
        <v>469.11</v>
      </c>
      <c r="AB163">
        <v>289.67</v>
      </c>
      <c r="AC163">
        <v>85.21</v>
      </c>
      <c r="AD163">
        <v>6246.37</v>
      </c>
      <c r="AE163">
        <v>78128296</v>
      </c>
      <c r="AF163">
        <v>18126380</v>
      </c>
      <c r="AG163">
        <v>7982351</v>
      </c>
      <c r="AH163">
        <v>1363579</v>
      </c>
      <c r="AI163">
        <v>6221721</v>
      </c>
      <c r="AJ163">
        <v>111822327</v>
      </c>
      <c r="AK163">
        <v>856</v>
      </c>
      <c r="AL163">
        <v>215</v>
      </c>
      <c r="AM163">
        <v>11</v>
      </c>
      <c r="AN163">
        <v>56</v>
      </c>
      <c r="AO163">
        <v>179</v>
      </c>
      <c r="AP163">
        <v>1317</v>
      </c>
      <c r="AQ163">
        <v>13792680</v>
      </c>
      <c r="AR163">
        <v>3212097</v>
      </c>
      <c r="AS163">
        <v>185875</v>
      </c>
      <c r="AT163">
        <v>682438</v>
      </c>
      <c r="AU163">
        <v>3034377</v>
      </c>
      <c r="AV163">
        <v>20907467</v>
      </c>
      <c r="AW163">
        <v>7.91</v>
      </c>
      <c r="AX163">
        <v>8.93</v>
      </c>
      <c r="AY163">
        <v>7.72</v>
      </c>
      <c r="AZ163">
        <v>2.14</v>
      </c>
      <c r="BA163">
        <v>8.1199999999999992</v>
      </c>
      <c r="BB163">
        <v>7.31</v>
      </c>
      <c r="BC163">
        <v>6.78</v>
      </c>
      <c r="BD163">
        <v>7.66</v>
      </c>
      <c r="BE163">
        <v>5.53</v>
      </c>
      <c r="BF163">
        <v>7.2</v>
      </c>
      <c r="BG163">
        <v>0.71750000000000003</v>
      </c>
      <c r="BH163">
        <v>0.1474</v>
      </c>
      <c r="BI163">
        <v>7.51E-2</v>
      </c>
      <c r="BJ163">
        <v>4.6399999999999997E-2</v>
      </c>
      <c r="BK163">
        <v>0.65</v>
      </c>
      <c r="BL163">
        <v>0.16320000000000001</v>
      </c>
      <c r="BM163">
        <v>8.3999999999999995E-3</v>
      </c>
      <c r="BN163">
        <v>4.2500000000000003E-2</v>
      </c>
      <c r="BO163">
        <v>-0.5</v>
      </c>
      <c r="BP163">
        <v>1.02</v>
      </c>
      <c r="BQ163">
        <v>-0.19</v>
      </c>
      <c r="BR163">
        <v>-5.77</v>
      </c>
      <c r="BS163">
        <v>23422130.239999998</v>
      </c>
      <c r="BT163">
        <v>1343678.41</v>
      </c>
      <c r="BU163">
        <v>18.78</v>
      </c>
      <c r="BV163">
        <v>3989645.7</v>
      </c>
      <c r="BW163">
        <v>10.99</v>
      </c>
      <c r="BX163">
        <v>23106.622220000001</v>
      </c>
      <c r="BY163">
        <v>9.1573747989999994</v>
      </c>
      <c r="BZ163" s="5">
        <v>1264588</v>
      </c>
      <c r="CA163" s="5">
        <v>6.9</v>
      </c>
      <c r="CB163" s="5">
        <v>459461.37</v>
      </c>
      <c r="CC163" s="5">
        <v>7.33</v>
      </c>
    </row>
    <row r="164" spans="1:81" x14ac:dyDescent="0.2">
      <c r="A164" s="2">
        <v>43282</v>
      </c>
      <c r="B164">
        <v>2018</v>
      </c>
      <c r="C164">
        <v>7</v>
      </c>
      <c r="E164">
        <v>7.75</v>
      </c>
      <c r="F164">
        <v>17.940000000000001</v>
      </c>
      <c r="G164">
        <v>19.809999999999999</v>
      </c>
      <c r="H164">
        <v>5.25</v>
      </c>
      <c r="I164">
        <v>6.38</v>
      </c>
      <c r="J164">
        <v>3.6655000000000002</v>
      </c>
      <c r="K164">
        <v>1.3132999999999999</v>
      </c>
      <c r="L164">
        <v>1.1685000000000001</v>
      </c>
      <c r="M164">
        <v>111.521</v>
      </c>
      <c r="N164">
        <v>6.7164000000000001</v>
      </c>
      <c r="O164">
        <v>0.88974339499999999</v>
      </c>
      <c r="P164">
        <v>84.916622250000003</v>
      </c>
      <c r="Q164">
        <v>5.1141399529999996</v>
      </c>
      <c r="R164">
        <v>21230043</v>
      </c>
      <c r="S164">
        <v>77819319</v>
      </c>
      <c r="T164">
        <v>12464.65</v>
      </c>
      <c r="U164">
        <v>2834.85</v>
      </c>
      <c r="W164">
        <v>26311170.23</v>
      </c>
      <c r="X164">
        <v>31427580.300000001</v>
      </c>
      <c r="Y164">
        <v>1439.56</v>
      </c>
      <c r="Z164">
        <v>1225.3900000000001</v>
      </c>
      <c r="AA164">
        <v>375.97</v>
      </c>
      <c r="AB164">
        <v>281.14999999999998</v>
      </c>
      <c r="AC164">
        <v>87.29</v>
      </c>
      <c r="AD164">
        <v>3409.36</v>
      </c>
      <c r="AE164">
        <v>29635020</v>
      </c>
      <c r="AF164">
        <v>21371541</v>
      </c>
      <c r="AG164">
        <v>7382320</v>
      </c>
      <c r="AH164">
        <v>1540070</v>
      </c>
      <c r="AI164">
        <v>6359137</v>
      </c>
      <c r="AJ164">
        <v>66288088</v>
      </c>
      <c r="AK164">
        <v>430</v>
      </c>
      <c r="AL164">
        <v>305</v>
      </c>
      <c r="AM164">
        <v>20</v>
      </c>
      <c r="AN164">
        <v>4845</v>
      </c>
      <c r="AO164">
        <v>272</v>
      </c>
      <c r="AP164">
        <v>5872</v>
      </c>
      <c r="AQ164">
        <v>6953894</v>
      </c>
      <c r="AR164">
        <v>4717868</v>
      </c>
      <c r="AS164">
        <v>329957</v>
      </c>
      <c r="AT164">
        <v>48655481</v>
      </c>
      <c r="AU164">
        <v>4575164</v>
      </c>
      <c r="AV164">
        <v>65232364</v>
      </c>
      <c r="AW164">
        <v>9.34</v>
      </c>
      <c r="AX164">
        <v>7.91</v>
      </c>
      <c r="AY164">
        <v>8.91</v>
      </c>
      <c r="AZ164">
        <v>2.48</v>
      </c>
      <c r="BA164">
        <v>8.82</v>
      </c>
      <c r="BB164">
        <v>7.34</v>
      </c>
      <c r="BC164">
        <v>7.02</v>
      </c>
      <c r="BD164">
        <v>7.48</v>
      </c>
      <c r="BE164">
        <v>4.5599999999999996</v>
      </c>
      <c r="BF164">
        <v>5.04</v>
      </c>
      <c r="BG164">
        <v>0.42220000000000002</v>
      </c>
      <c r="BH164">
        <v>0.3594</v>
      </c>
      <c r="BI164">
        <v>0.1103</v>
      </c>
      <c r="BJ164">
        <v>8.2500000000000004E-2</v>
      </c>
      <c r="BK164">
        <v>7.3200000000000001E-2</v>
      </c>
      <c r="BL164">
        <v>5.1900000000000002E-2</v>
      </c>
      <c r="BM164">
        <v>3.3999999999999998E-3</v>
      </c>
      <c r="BN164">
        <v>0.82509999999999994</v>
      </c>
      <c r="BO164">
        <v>-2.5499999999999998</v>
      </c>
      <c r="BP164">
        <v>-1.43</v>
      </c>
      <c r="BQ164">
        <v>-0.43</v>
      </c>
      <c r="BR164">
        <v>-6.85</v>
      </c>
      <c r="BS164">
        <v>26312095.370000001</v>
      </c>
      <c r="BT164">
        <v>1481650.14</v>
      </c>
      <c r="BU164">
        <v>17.55</v>
      </c>
      <c r="BV164">
        <v>91264.65</v>
      </c>
      <c r="BW164">
        <v>11.8</v>
      </c>
      <c r="BX164">
        <v>160599.95310000001</v>
      </c>
      <c r="BY164">
        <v>4.7231769699999999</v>
      </c>
      <c r="BZ164" s="5">
        <v>800485.9</v>
      </c>
      <c r="CA164" s="5">
        <v>7.74</v>
      </c>
      <c r="CB164" s="5">
        <v>762008.59</v>
      </c>
      <c r="CC164" s="5">
        <v>7.1</v>
      </c>
    </row>
    <row r="165" spans="1:81" x14ac:dyDescent="0.2">
      <c r="A165" s="2">
        <v>43313</v>
      </c>
      <c r="B165">
        <v>2018</v>
      </c>
      <c r="C165">
        <v>8</v>
      </c>
      <c r="E165">
        <v>8.16</v>
      </c>
      <c r="F165">
        <v>18</v>
      </c>
      <c r="G165">
        <v>19.329999999999998</v>
      </c>
      <c r="H165">
        <v>4.3600000000000003</v>
      </c>
      <c r="I165">
        <v>4.93</v>
      </c>
      <c r="J165">
        <v>3.4939</v>
      </c>
      <c r="K165">
        <v>1.3042</v>
      </c>
      <c r="L165">
        <v>1.1547000000000001</v>
      </c>
      <c r="M165">
        <v>110.9965</v>
      </c>
      <c r="N165">
        <v>6.8452999999999999</v>
      </c>
      <c r="O165">
        <v>0.88537034199999998</v>
      </c>
      <c r="P165">
        <v>85.106962120000006</v>
      </c>
      <c r="Q165">
        <v>5.2486581809999997</v>
      </c>
      <c r="R165">
        <v>27081225</v>
      </c>
      <c r="S165">
        <v>94618112</v>
      </c>
      <c r="T165">
        <v>12883.85</v>
      </c>
      <c r="U165">
        <v>600</v>
      </c>
      <c r="W165">
        <v>17962355.989999998</v>
      </c>
      <c r="X165">
        <v>31718799.199999999</v>
      </c>
      <c r="Y165">
        <v>1031.75</v>
      </c>
      <c r="Z165">
        <v>1870.9</v>
      </c>
      <c r="AA165">
        <v>312.02999999999997</v>
      </c>
      <c r="AB165">
        <v>304.49</v>
      </c>
      <c r="AC165">
        <v>77.92</v>
      </c>
      <c r="AD165">
        <v>3597.09</v>
      </c>
      <c r="AE165">
        <v>22778192</v>
      </c>
      <c r="AF165">
        <v>27536980</v>
      </c>
      <c r="AG165">
        <v>6419134</v>
      </c>
      <c r="AH165">
        <v>1326511</v>
      </c>
      <c r="AI165">
        <v>6636953</v>
      </c>
      <c r="AJ165">
        <v>64697770</v>
      </c>
      <c r="AK165">
        <v>834</v>
      </c>
      <c r="AL165">
        <v>469</v>
      </c>
      <c r="AM165">
        <v>12</v>
      </c>
      <c r="AN165">
        <v>7342</v>
      </c>
      <c r="AO165">
        <v>359</v>
      </c>
      <c r="AP165">
        <v>9016</v>
      </c>
      <c r="AQ165">
        <v>14225257</v>
      </c>
      <c r="AR165">
        <v>7370589</v>
      </c>
      <c r="AS165">
        <v>198437</v>
      </c>
      <c r="AT165">
        <v>73318128</v>
      </c>
      <c r="AU165">
        <v>6070842</v>
      </c>
      <c r="AV165">
        <v>101183253</v>
      </c>
      <c r="AW165">
        <v>10.01</v>
      </c>
      <c r="AX165">
        <v>6.68</v>
      </c>
      <c r="AY165">
        <v>9.33</v>
      </c>
      <c r="AZ165">
        <v>1.98</v>
      </c>
      <c r="BA165">
        <v>8.16</v>
      </c>
      <c r="BB165">
        <v>7.74</v>
      </c>
      <c r="BC165">
        <v>7.13</v>
      </c>
      <c r="BD165">
        <v>7.5</v>
      </c>
      <c r="BE165">
        <v>4.53</v>
      </c>
      <c r="BF165">
        <v>5.09</v>
      </c>
      <c r="BG165">
        <v>0.2868</v>
      </c>
      <c r="BH165">
        <v>0.52010000000000001</v>
      </c>
      <c r="BI165">
        <v>8.6699999999999999E-2</v>
      </c>
      <c r="BJ165">
        <v>8.4599999999999995E-2</v>
      </c>
      <c r="BK165">
        <v>9.2499999999999999E-2</v>
      </c>
      <c r="BL165">
        <v>5.1999999999999998E-2</v>
      </c>
      <c r="BM165">
        <v>1.2999999999999999E-3</v>
      </c>
      <c r="BN165">
        <v>0.81430000000000002</v>
      </c>
      <c r="BO165">
        <v>-3.15</v>
      </c>
      <c r="BP165">
        <v>-3.33</v>
      </c>
      <c r="BQ165">
        <v>-0.68</v>
      </c>
      <c r="BR165">
        <v>-8.0399999999999991</v>
      </c>
      <c r="BS165">
        <v>17962558</v>
      </c>
      <c r="BT165">
        <v>36594.49</v>
      </c>
      <c r="BU165">
        <v>4.66</v>
      </c>
      <c r="BV165">
        <v>3734833.51</v>
      </c>
      <c r="BW165">
        <v>11.34</v>
      </c>
      <c r="BX165">
        <v>43704.386879999998</v>
      </c>
      <c r="BY165">
        <v>8.8140122190000003</v>
      </c>
      <c r="BZ165" s="5">
        <v>527251.36</v>
      </c>
      <c r="CA165" s="5">
        <v>7.14</v>
      </c>
      <c r="CB165" s="5">
        <v>244512.69</v>
      </c>
      <c r="CC165" s="5">
        <v>6.75</v>
      </c>
    </row>
    <row r="166" spans="1:81" x14ac:dyDescent="0.2">
      <c r="A166" s="2">
        <v>43344</v>
      </c>
      <c r="B166">
        <v>2018</v>
      </c>
      <c r="C166">
        <v>9</v>
      </c>
      <c r="E166">
        <v>8.5</v>
      </c>
      <c r="F166">
        <v>18</v>
      </c>
      <c r="G166">
        <v>18.59</v>
      </c>
      <c r="H166">
        <v>4.3099999999999996</v>
      </c>
      <c r="I166">
        <v>4.8099999999999996</v>
      </c>
      <c r="J166">
        <v>3.8521000000000001</v>
      </c>
      <c r="K166">
        <v>1.3033999999999999</v>
      </c>
      <c r="L166">
        <v>1.1667000000000001</v>
      </c>
      <c r="M166">
        <v>112.09739999999999</v>
      </c>
      <c r="N166">
        <v>6.8551000000000002</v>
      </c>
      <c r="O166">
        <v>0.89512045399999995</v>
      </c>
      <c r="P166">
        <v>86.003836120000003</v>
      </c>
      <c r="Q166">
        <v>5.2593984960000002</v>
      </c>
      <c r="R166">
        <v>20026609</v>
      </c>
      <c r="S166">
        <v>77144947</v>
      </c>
      <c r="T166">
        <v>9683.93</v>
      </c>
      <c r="U166">
        <v>600</v>
      </c>
      <c r="W166">
        <v>9655219.7850000001</v>
      </c>
      <c r="X166">
        <v>32013328.199999999</v>
      </c>
      <c r="Y166">
        <v>509.9</v>
      </c>
      <c r="Z166">
        <v>2005.29</v>
      </c>
      <c r="AA166">
        <v>324.92</v>
      </c>
      <c r="AB166">
        <v>242.55</v>
      </c>
      <c r="AC166">
        <v>88.28</v>
      </c>
      <c r="AD166">
        <v>3170.94</v>
      </c>
      <c r="AE166">
        <v>11791125</v>
      </c>
      <c r="AF166">
        <v>33937556</v>
      </c>
      <c r="AG166">
        <v>6538295</v>
      </c>
      <c r="AH166">
        <v>1495105</v>
      </c>
      <c r="AI166">
        <v>5459800</v>
      </c>
      <c r="AJ166">
        <v>59221881</v>
      </c>
      <c r="AK166">
        <v>823</v>
      </c>
      <c r="AL166">
        <v>473</v>
      </c>
      <c r="AM166">
        <v>26</v>
      </c>
      <c r="AN166">
        <v>5443</v>
      </c>
      <c r="AO166">
        <v>294</v>
      </c>
      <c r="AP166">
        <v>7059</v>
      </c>
      <c r="AQ166">
        <v>14042118</v>
      </c>
      <c r="AR166">
        <v>7388959</v>
      </c>
      <c r="AS166">
        <v>478620</v>
      </c>
      <c r="AT166">
        <v>58370143</v>
      </c>
      <c r="AU166">
        <v>5106778</v>
      </c>
      <c r="AV166">
        <v>85386618</v>
      </c>
      <c r="AW166">
        <v>10.49</v>
      </c>
      <c r="AX166">
        <v>7.68</v>
      </c>
      <c r="AY166">
        <v>9.1300000000000008</v>
      </c>
      <c r="AZ166">
        <v>2.8</v>
      </c>
      <c r="BA166">
        <v>8.4700000000000006</v>
      </c>
      <c r="BB166">
        <v>7.74</v>
      </c>
      <c r="BC166">
        <v>7.09</v>
      </c>
      <c r="BD166">
        <v>8.35</v>
      </c>
      <c r="BE166">
        <v>4.8600000000000003</v>
      </c>
      <c r="BF166">
        <v>5.49</v>
      </c>
      <c r="BG166">
        <v>0.1608</v>
      </c>
      <c r="BH166">
        <v>0.63239999999999996</v>
      </c>
      <c r="BI166">
        <v>0.10249999999999999</v>
      </c>
      <c r="BJ166">
        <v>7.6499999999999999E-2</v>
      </c>
      <c r="BK166">
        <v>0.1166</v>
      </c>
      <c r="BL166">
        <v>6.7000000000000004E-2</v>
      </c>
      <c r="BM166">
        <v>3.7000000000000002E-3</v>
      </c>
      <c r="BN166">
        <v>0.77110000000000001</v>
      </c>
      <c r="BO166">
        <v>-3.18</v>
      </c>
      <c r="BP166">
        <v>-2.81</v>
      </c>
      <c r="BQ166">
        <v>-1.36</v>
      </c>
      <c r="BR166">
        <v>-7.69</v>
      </c>
      <c r="BS166">
        <v>9655447.5979999993</v>
      </c>
      <c r="BT166">
        <v>409563.28</v>
      </c>
      <c r="BU166">
        <v>3.93</v>
      </c>
      <c r="BV166">
        <v>60591.78</v>
      </c>
      <c r="BW166">
        <v>10.9</v>
      </c>
      <c r="BX166">
        <v>357216.78320000001</v>
      </c>
      <c r="BY166">
        <v>5.4981011310000003</v>
      </c>
      <c r="BZ166" s="5">
        <v>693603.5</v>
      </c>
      <c r="CA166" s="5">
        <v>7.05</v>
      </c>
      <c r="CB166" s="5">
        <v>352929.5</v>
      </c>
      <c r="CC166" s="5">
        <v>7.6</v>
      </c>
    </row>
    <row r="167" spans="1:81" x14ac:dyDescent="0.2">
      <c r="A167" s="2">
        <v>43374</v>
      </c>
      <c r="B167">
        <v>2018</v>
      </c>
      <c r="C167">
        <v>10</v>
      </c>
      <c r="E167">
        <v>8.49</v>
      </c>
      <c r="F167">
        <v>18.440000000000001</v>
      </c>
      <c r="G167">
        <v>17.97</v>
      </c>
      <c r="J167">
        <v>3.839</v>
      </c>
      <c r="K167">
        <v>1.3004</v>
      </c>
      <c r="L167">
        <v>1.1488</v>
      </c>
      <c r="M167">
        <v>112.7218</v>
      </c>
      <c r="N167">
        <v>6.9191000000000003</v>
      </c>
      <c r="O167">
        <v>0.883420486</v>
      </c>
      <c r="P167">
        <v>86.682405410000001</v>
      </c>
      <c r="Q167">
        <v>5.3207474619999999</v>
      </c>
      <c r="R167">
        <v>21164596</v>
      </c>
      <c r="S167">
        <v>81251907</v>
      </c>
      <c r="T167">
        <v>10810.31</v>
      </c>
      <c r="U167">
        <v>1210.2</v>
      </c>
      <c r="W167">
        <v>4184300.53</v>
      </c>
      <c r="X167">
        <v>32311201</v>
      </c>
      <c r="Y167">
        <v>437.64</v>
      </c>
      <c r="Z167">
        <v>1213.8699999999999</v>
      </c>
      <c r="AA167">
        <v>229.22</v>
      </c>
      <c r="AB167">
        <v>223.49</v>
      </c>
      <c r="AC167">
        <v>102.48</v>
      </c>
      <c r="AD167">
        <v>2206.6999999999998</v>
      </c>
      <c r="AE167">
        <v>8336215</v>
      </c>
      <c r="AF167">
        <v>21482260</v>
      </c>
      <c r="AG167">
        <v>4684651</v>
      </c>
      <c r="AH167">
        <v>2060131</v>
      </c>
      <c r="AI167">
        <v>4828716</v>
      </c>
      <c r="AJ167">
        <v>41391973</v>
      </c>
      <c r="AK167">
        <v>1183</v>
      </c>
      <c r="AL167">
        <v>444</v>
      </c>
      <c r="AM167">
        <v>16</v>
      </c>
      <c r="AN167">
        <v>6121</v>
      </c>
      <c r="AO167">
        <v>419</v>
      </c>
      <c r="AP167">
        <v>8183</v>
      </c>
      <c r="AQ167">
        <v>19788870</v>
      </c>
      <c r="AR167">
        <v>6943837</v>
      </c>
      <c r="AS167">
        <v>286581</v>
      </c>
      <c r="AT167">
        <v>65230490</v>
      </c>
      <c r="AU167">
        <v>7170794</v>
      </c>
      <c r="AV167">
        <v>99420572</v>
      </c>
      <c r="AW167">
        <v>8.64</v>
      </c>
      <c r="AX167">
        <v>8.0299999999999994</v>
      </c>
      <c r="AY167">
        <v>9.27</v>
      </c>
      <c r="AZ167">
        <v>4.18</v>
      </c>
      <c r="BA167">
        <v>8.51</v>
      </c>
      <c r="BB167">
        <v>7.59</v>
      </c>
      <c r="BC167">
        <v>7.09</v>
      </c>
      <c r="BD167">
        <v>8.1199999999999992</v>
      </c>
      <c r="BE167">
        <v>4.83</v>
      </c>
      <c r="BF167">
        <v>5.51</v>
      </c>
      <c r="BG167">
        <v>0.1983</v>
      </c>
      <c r="BH167">
        <v>0.55010000000000003</v>
      </c>
      <c r="BI167">
        <v>0.10390000000000001</v>
      </c>
      <c r="BJ167">
        <v>0.1013</v>
      </c>
      <c r="BK167">
        <v>0.14460000000000001</v>
      </c>
      <c r="BL167">
        <v>5.4300000000000001E-2</v>
      </c>
      <c r="BM167">
        <v>2E-3</v>
      </c>
      <c r="BN167">
        <v>0.748</v>
      </c>
      <c r="BO167">
        <v>-1.81</v>
      </c>
      <c r="BP167">
        <v>-0.61</v>
      </c>
      <c r="BQ167">
        <v>0.63</v>
      </c>
      <c r="BR167">
        <v>-4.46</v>
      </c>
      <c r="BS167">
        <v>4185069.844</v>
      </c>
      <c r="BT167">
        <v>3797876.83</v>
      </c>
      <c r="BU167">
        <v>15.93</v>
      </c>
      <c r="BV167">
        <v>2832603.8</v>
      </c>
      <c r="BW167">
        <v>11.2</v>
      </c>
      <c r="BX167">
        <v>227776.92920000001</v>
      </c>
      <c r="BY167">
        <v>6.2858868340000003</v>
      </c>
      <c r="BZ167" s="5">
        <v>692900.23</v>
      </c>
      <c r="CA167" s="5">
        <v>7.94</v>
      </c>
      <c r="CB167" s="5">
        <v>531290.23</v>
      </c>
      <c r="CC167" s="5">
        <v>7.15</v>
      </c>
    </row>
    <row r="168" spans="1:81" x14ac:dyDescent="0.2">
      <c r="A168" s="2">
        <v>43405</v>
      </c>
      <c r="B168">
        <v>2018</v>
      </c>
      <c r="C168">
        <v>11</v>
      </c>
      <c r="E168">
        <v>8.27</v>
      </c>
      <c r="F168">
        <v>18.53</v>
      </c>
      <c r="G168">
        <v>17.690000000000001</v>
      </c>
      <c r="J168">
        <v>4.0799000000000003</v>
      </c>
      <c r="K168">
        <v>1.3205</v>
      </c>
      <c r="L168">
        <v>1.1364000000000001</v>
      </c>
      <c r="M168">
        <v>113.33799999999999</v>
      </c>
      <c r="N168">
        <v>6.9367000000000001</v>
      </c>
      <c r="O168">
        <v>0.86058311200000004</v>
      </c>
      <c r="P168">
        <v>85.829610000000002</v>
      </c>
      <c r="Q168">
        <v>5.2530859520000002</v>
      </c>
      <c r="R168">
        <v>11714344</v>
      </c>
      <c r="S168">
        <v>47792782</v>
      </c>
      <c r="T168">
        <v>8294.0400000000009</v>
      </c>
      <c r="U168">
        <v>2980.5</v>
      </c>
      <c r="W168">
        <v>5335397.0650000004</v>
      </c>
      <c r="X168">
        <v>32612451.5</v>
      </c>
      <c r="Y168">
        <v>1175.94</v>
      </c>
      <c r="Z168">
        <v>1224.56</v>
      </c>
      <c r="AA168">
        <v>188.92</v>
      </c>
      <c r="AB168">
        <v>221.21</v>
      </c>
      <c r="AC168">
        <v>83.14</v>
      </c>
      <c r="AD168">
        <v>2893.77</v>
      </c>
      <c r="AE168">
        <v>21752986</v>
      </c>
      <c r="AF168">
        <v>22730399</v>
      </c>
      <c r="AG168">
        <v>3825112</v>
      </c>
      <c r="AH168">
        <v>1572888</v>
      </c>
      <c r="AI168">
        <v>4994844</v>
      </c>
      <c r="AJ168">
        <v>54876229</v>
      </c>
      <c r="AK168">
        <v>1017</v>
      </c>
      <c r="AL168">
        <v>474</v>
      </c>
      <c r="AM168">
        <v>16</v>
      </c>
      <c r="AN168">
        <v>2972</v>
      </c>
      <c r="AO168">
        <v>410</v>
      </c>
      <c r="AP168">
        <v>4889</v>
      </c>
      <c r="AQ168">
        <v>17583912</v>
      </c>
      <c r="AR168">
        <v>7424479</v>
      </c>
      <c r="AS168">
        <v>307922</v>
      </c>
      <c r="AT168">
        <v>33005034</v>
      </c>
      <c r="AU168">
        <v>6770779</v>
      </c>
      <c r="AV168">
        <v>65092126</v>
      </c>
      <c r="AW168">
        <v>8.39</v>
      </c>
      <c r="AX168">
        <v>8.42</v>
      </c>
      <c r="AY168">
        <v>9.18</v>
      </c>
      <c r="AZ168">
        <v>3.23</v>
      </c>
      <c r="BA168">
        <v>8.6</v>
      </c>
      <c r="BB168">
        <v>7.84</v>
      </c>
      <c r="BC168">
        <v>7.1</v>
      </c>
      <c r="BD168">
        <v>8.73</v>
      </c>
      <c r="BE168">
        <v>5.04</v>
      </c>
      <c r="BF168">
        <v>6.04</v>
      </c>
      <c r="BG168">
        <v>0.40639999999999998</v>
      </c>
      <c r="BH168">
        <v>0.42320000000000002</v>
      </c>
      <c r="BI168">
        <v>6.5299999999999997E-2</v>
      </c>
      <c r="BJ168">
        <v>7.6399999999999996E-2</v>
      </c>
      <c r="BK168">
        <v>0.20799999999999999</v>
      </c>
      <c r="BL168">
        <v>9.7000000000000003E-2</v>
      </c>
      <c r="BM168">
        <v>3.3E-3</v>
      </c>
      <c r="BN168">
        <v>0.6079</v>
      </c>
      <c r="BO168">
        <v>-1.32</v>
      </c>
      <c r="BP168">
        <v>0.03</v>
      </c>
      <c r="BQ168">
        <v>0.79</v>
      </c>
      <c r="BR168">
        <v>-5.17</v>
      </c>
      <c r="BS168">
        <v>5336582.9610000001</v>
      </c>
      <c r="BT168">
        <v>4269755.9000000004</v>
      </c>
      <c r="BU168">
        <v>14.61</v>
      </c>
      <c r="BV168">
        <v>128293.45</v>
      </c>
      <c r="BW168">
        <v>10.84</v>
      </c>
      <c r="BX168">
        <v>89150.423559999996</v>
      </c>
      <c r="BY168">
        <v>6.3287865329999997</v>
      </c>
      <c r="BZ168" s="5">
        <v>523071.39</v>
      </c>
      <c r="CA168" s="5">
        <v>6.17</v>
      </c>
      <c r="CB168" s="5">
        <v>170723.91</v>
      </c>
      <c r="CC168" s="5">
        <v>7.24</v>
      </c>
    </row>
    <row r="169" spans="1:81" x14ac:dyDescent="0.2">
      <c r="A169" s="2">
        <v>43435</v>
      </c>
      <c r="B169">
        <v>2018</v>
      </c>
      <c r="C169">
        <v>12</v>
      </c>
      <c r="E169">
        <v>8.19</v>
      </c>
      <c r="F169">
        <v>18.809999999999999</v>
      </c>
      <c r="G169">
        <v>17.25</v>
      </c>
      <c r="J169">
        <v>4.7767999999999997</v>
      </c>
      <c r="K169">
        <v>1.3435999999999999</v>
      </c>
      <c r="L169">
        <v>1.1379999999999999</v>
      </c>
      <c r="M169">
        <v>112.1994</v>
      </c>
      <c r="N169">
        <v>6.8837000000000002</v>
      </c>
      <c r="O169">
        <v>0.84697826700000001</v>
      </c>
      <c r="P169">
        <v>83.506549570000004</v>
      </c>
      <c r="Q169">
        <v>5.1233253940000001</v>
      </c>
      <c r="R169">
        <v>6793132</v>
      </c>
      <c r="S169">
        <v>32449263</v>
      </c>
      <c r="T169">
        <v>23870.720000000001</v>
      </c>
      <c r="U169">
        <v>20789.400000000001</v>
      </c>
      <c r="W169">
        <v>24924838.649999999</v>
      </c>
      <c r="X169">
        <v>32917113.899999999</v>
      </c>
      <c r="Y169">
        <v>3798.43</v>
      </c>
      <c r="Z169">
        <v>1871.13</v>
      </c>
      <c r="AA169">
        <v>1059.24</v>
      </c>
      <c r="AB169">
        <v>443.75</v>
      </c>
      <c r="AC169">
        <v>109.6</v>
      </c>
      <c r="AD169">
        <v>7282.15</v>
      </c>
      <c r="AE169">
        <v>80796805</v>
      </c>
      <c r="AF169">
        <v>37757896</v>
      </c>
      <c r="AG169">
        <v>21174233</v>
      </c>
      <c r="AH169">
        <v>2104019</v>
      </c>
      <c r="AI169">
        <v>9844161</v>
      </c>
      <c r="AJ169">
        <v>151677114</v>
      </c>
      <c r="AK169">
        <v>843</v>
      </c>
      <c r="AL169">
        <v>1108</v>
      </c>
      <c r="AM169">
        <v>33</v>
      </c>
      <c r="AN169">
        <v>1240</v>
      </c>
      <c r="AO169">
        <v>533</v>
      </c>
      <c r="AP169">
        <v>3757</v>
      </c>
      <c r="AQ169">
        <v>15492493</v>
      </c>
      <c r="AR169">
        <v>18917823</v>
      </c>
      <c r="AS169">
        <v>554831</v>
      </c>
      <c r="AT169">
        <v>14139384</v>
      </c>
      <c r="AU169">
        <v>8869704</v>
      </c>
      <c r="AV169">
        <v>57974235</v>
      </c>
      <c r="AW169">
        <v>9.65</v>
      </c>
      <c r="AX169">
        <v>9.15</v>
      </c>
      <c r="AY169">
        <v>9.07</v>
      </c>
      <c r="AZ169">
        <v>2.15</v>
      </c>
      <c r="BA169">
        <v>9.4499999999999993</v>
      </c>
      <c r="BB169">
        <v>8.34</v>
      </c>
      <c r="BC169">
        <v>7.74</v>
      </c>
      <c r="BD169">
        <v>7.63</v>
      </c>
      <c r="BE169">
        <v>5.17</v>
      </c>
      <c r="BF169">
        <v>7</v>
      </c>
      <c r="BG169">
        <v>0.52159999999999995</v>
      </c>
      <c r="BH169">
        <v>0.25690000000000002</v>
      </c>
      <c r="BI169">
        <v>0.14549999999999999</v>
      </c>
      <c r="BJ169">
        <v>6.0900000000000003E-2</v>
      </c>
      <c r="BK169">
        <v>0.22439999999999999</v>
      </c>
      <c r="BL169">
        <v>0.2949</v>
      </c>
      <c r="BM169">
        <v>8.8000000000000005E-3</v>
      </c>
      <c r="BN169">
        <v>0.3301</v>
      </c>
      <c r="BO169">
        <v>-2.0099999999999998</v>
      </c>
      <c r="BP169">
        <v>-0.5</v>
      </c>
      <c r="BQ169">
        <v>-0.57999999999999996</v>
      </c>
      <c r="BR169">
        <v>-7.5</v>
      </c>
      <c r="BS169">
        <v>24925214.600000001</v>
      </c>
      <c r="BT169">
        <v>62315.79</v>
      </c>
      <c r="BU169">
        <v>4.17</v>
      </c>
      <c r="BV169">
        <v>4109546.16</v>
      </c>
      <c r="BW169">
        <v>10.94</v>
      </c>
      <c r="BX169">
        <v>114600.55680000001</v>
      </c>
      <c r="BY169">
        <v>5.0741376479999998</v>
      </c>
      <c r="BZ169" s="5">
        <v>236351.17</v>
      </c>
      <c r="CA169" s="5">
        <v>11.98</v>
      </c>
      <c r="CB169" s="5">
        <v>23876.080000000002</v>
      </c>
      <c r="CC169" s="5">
        <v>7.16</v>
      </c>
    </row>
    <row r="170" spans="1:81" x14ac:dyDescent="0.2">
      <c r="A170" s="2">
        <v>43466</v>
      </c>
      <c r="B170">
        <v>2019</v>
      </c>
      <c r="C170">
        <v>1</v>
      </c>
      <c r="E170">
        <v>7.79</v>
      </c>
      <c r="F170">
        <v>19.48</v>
      </c>
      <c r="G170">
        <v>17.25</v>
      </c>
      <c r="J170">
        <v>5.1897000000000002</v>
      </c>
      <c r="K170">
        <v>1.33</v>
      </c>
      <c r="L170">
        <v>1.1417999999999999</v>
      </c>
      <c r="M170">
        <v>108.9605</v>
      </c>
      <c r="N170">
        <v>6.7862999999999998</v>
      </c>
      <c r="O170">
        <v>0.85849624099999999</v>
      </c>
      <c r="P170">
        <v>81.925187969999996</v>
      </c>
      <c r="Q170">
        <v>5.102481203</v>
      </c>
      <c r="R170">
        <v>1820410</v>
      </c>
      <c r="S170">
        <v>9447291</v>
      </c>
      <c r="T170">
        <v>9905.33</v>
      </c>
      <c r="U170">
        <v>9079.6</v>
      </c>
      <c r="W170">
        <v>20164387.539999999</v>
      </c>
      <c r="X170">
        <v>33225222.5</v>
      </c>
      <c r="Y170">
        <v>2038.56</v>
      </c>
      <c r="Z170">
        <v>3100.75</v>
      </c>
      <c r="AA170">
        <v>162.94999999999999</v>
      </c>
      <c r="AB170">
        <v>318.43</v>
      </c>
      <c r="AC170">
        <v>62.68</v>
      </c>
      <c r="AD170">
        <v>5683.37</v>
      </c>
      <c r="AE170">
        <v>47474408</v>
      </c>
      <c r="AF170">
        <v>54054524</v>
      </c>
      <c r="AG170">
        <v>3538507</v>
      </c>
      <c r="AH170">
        <v>1029420</v>
      </c>
      <c r="AI170">
        <v>7088530</v>
      </c>
      <c r="AJ170">
        <v>113185389</v>
      </c>
      <c r="AK170">
        <v>860</v>
      </c>
      <c r="AL170">
        <v>267</v>
      </c>
      <c r="AM170">
        <v>9</v>
      </c>
      <c r="AN170">
        <v>373</v>
      </c>
      <c r="AO170">
        <v>464</v>
      </c>
      <c r="AP170">
        <v>1973</v>
      </c>
      <c r="AQ170">
        <v>15306840</v>
      </c>
      <c r="AR170">
        <v>4457186</v>
      </c>
      <c r="AS170">
        <v>156362</v>
      </c>
      <c r="AT170">
        <v>5192609</v>
      </c>
      <c r="AU170">
        <v>7784544</v>
      </c>
      <c r="AV170">
        <v>32897541</v>
      </c>
      <c r="AW170">
        <v>10.56</v>
      </c>
      <c r="AX170">
        <v>7.91</v>
      </c>
      <c r="AY170">
        <v>9.85</v>
      </c>
      <c r="AZ170">
        <v>1.47</v>
      </c>
      <c r="BA170">
        <v>9.0299999999999994</v>
      </c>
      <c r="BB170">
        <v>8.07</v>
      </c>
      <c r="BC170">
        <v>7.57</v>
      </c>
      <c r="BD170">
        <v>7.88</v>
      </c>
      <c r="BE170">
        <v>6.31</v>
      </c>
      <c r="BF170">
        <v>7.56</v>
      </c>
      <c r="BG170">
        <v>0.35870000000000002</v>
      </c>
      <c r="BH170">
        <v>0.54559999999999997</v>
      </c>
      <c r="BI170">
        <v>2.87E-2</v>
      </c>
      <c r="BJ170">
        <v>5.6000000000000001E-2</v>
      </c>
      <c r="BK170">
        <v>0.43590000000000001</v>
      </c>
      <c r="BL170">
        <v>0.1353</v>
      </c>
      <c r="BM170">
        <v>4.5999999999999999E-3</v>
      </c>
      <c r="BN170">
        <v>0.18909999999999999</v>
      </c>
      <c r="BO170">
        <v>-1.63</v>
      </c>
      <c r="BP170">
        <v>-2.65</v>
      </c>
      <c r="BQ170">
        <v>-0.71</v>
      </c>
      <c r="BR170">
        <v>-9.1</v>
      </c>
      <c r="BS170">
        <v>20165264.91</v>
      </c>
      <c r="BT170">
        <v>201658.8</v>
      </c>
      <c r="BU170">
        <v>7.28</v>
      </c>
      <c r="BV170">
        <v>1199752</v>
      </c>
      <c r="BW170">
        <v>11.33</v>
      </c>
      <c r="BX170">
        <v>86853.209520000004</v>
      </c>
      <c r="BY170">
        <v>5.4232768440000001</v>
      </c>
      <c r="BZ170" s="5">
        <v>179008.89</v>
      </c>
      <c r="CA170" s="5">
        <v>8</v>
      </c>
      <c r="CB170" s="5">
        <v>25785.29</v>
      </c>
      <c r="CC170" s="5">
        <v>7.23</v>
      </c>
    </row>
    <row r="171" spans="1:81" x14ac:dyDescent="0.2">
      <c r="A171" s="2">
        <v>43497</v>
      </c>
      <c r="B171">
        <v>2019</v>
      </c>
      <c r="C171">
        <v>2</v>
      </c>
      <c r="E171">
        <v>8.7899999999999991</v>
      </c>
      <c r="F171">
        <v>19.809999999999999</v>
      </c>
      <c r="G171">
        <v>17.25</v>
      </c>
      <c r="J171">
        <v>6.5628000000000002</v>
      </c>
      <c r="K171">
        <v>1.3209</v>
      </c>
      <c r="L171">
        <v>1.1349</v>
      </c>
      <c r="M171">
        <v>110.44</v>
      </c>
      <c r="N171">
        <v>6.7366999999999999</v>
      </c>
      <c r="O171">
        <v>0.85918691800000002</v>
      </c>
      <c r="P171">
        <v>83.609660079999998</v>
      </c>
      <c r="Q171">
        <v>5.1000832770000004</v>
      </c>
      <c r="R171">
        <v>1174860</v>
      </c>
      <c r="S171">
        <v>7710413</v>
      </c>
      <c r="T171">
        <v>681.96</v>
      </c>
      <c r="U171">
        <v>149.05000000000001</v>
      </c>
      <c r="W171">
        <v>14692477.25</v>
      </c>
      <c r="X171">
        <v>33536811.800000001</v>
      </c>
      <c r="Y171">
        <v>1884.88</v>
      </c>
      <c r="Z171">
        <v>1986.38</v>
      </c>
      <c r="AA171">
        <v>223.81</v>
      </c>
      <c r="AB171">
        <v>210.14</v>
      </c>
      <c r="AC171">
        <v>65.209999999999994</v>
      </c>
      <c r="AD171">
        <v>4370.42</v>
      </c>
      <c r="AE171">
        <v>45884069</v>
      </c>
      <c r="AF171">
        <v>35367786</v>
      </c>
      <c r="AG171">
        <v>4602044</v>
      </c>
      <c r="AH171">
        <v>1285400</v>
      </c>
      <c r="AI171">
        <v>4624217</v>
      </c>
      <c r="AJ171">
        <v>91763516</v>
      </c>
      <c r="AK171">
        <v>629</v>
      </c>
      <c r="AL171">
        <v>207</v>
      </c>
      <c r="AM171">
        <v>10</v>
      </c>
      <c r="AN171">
        <v>92</v>
      </c>
      <c r="AO171">
        <v>320</v>
      </c>
      <c r="AP171">
        <v>1258</v>
      </c>
      <c r="AQ171">
        <v>11437673</v>
      </c>
      <c r="AR171">
        <v>3356164</v>
      </c>
      <c r="AS171">
        <v>201822</v>
      </c>
      <c r="AT171">
        <v>1642042</v>
      </c>
      <c r="AU171">
        <v>5540346</v>
      </c>
      <c r="AV171">
        <v>22178047</v>
      </c>
      <c r="AW171">
        <v>11.04</v>
      </c>
      <c r="AX171">
        <v>8.08</v>
      </c>
      <c r="AY171">
        <v>9.33</v>
      </c>
      <c r="AZ171">
        <v>2.77</v>
      </c>
      <c r="BA171">
        <v>9.52</v>
      </c>
      <c r="BB171">
        <v>8.25</v>
      </c>
      <c r="BC171">
        <v>7.35</v>
      </c>
      <c r="BD171">
        <v>9.15</v>
      </c>
      <c r="BE171">
        <v>8.1</v>
      </c>
      <c r="BF171">
        <v>8</v>
      </c>
      <c r="BG171">
        <v>0.43130000000000002</v>
      </c>
      <c r="BH171">
        <v>0.45450000000000002</v>
      </c>
      <c r="BI171">
        <v>5.1200000000000002E-2</v>
      </c>
      <c r="BJ171">
        <v>4.8099999999999997E-2</v>
      </c>
      <c r="BK171">
        <v>0.5</v>
      </c>
      <c r="BL171">
        <v>0.16450000000000001</v>
      </c>
      <c r="BM171">
        <v>7.9000000000000008E-3</v>
      </c>
      <c r="BN171">
        <v>7.3099999999999998E-2</v>
      </c>
      <c r="BO171">
        <v>-0.26</v>
      </c>
      <c r="BP171">
        <v>-2.96</v>
      </c>
      <c r="BQ171">
        <v>-1.72</v>
      </c>
      <c r="BR171">
        <v>-8.27</v>
      </c>
      <c r="BS171">
        <v>14692317.550000001</v>
      </c>
      <c r="BT171">
        <v>1639831.63</v>
      </c>
      <c r="BU171">
        <v>19.739999999999998</v>
      </c>
      <c r="BV171">
        <v>533548.9</v>
      </c>
      <c r="BW171">
        <v>10.08</v>
      </c>
      <c r="BX171">
        <v>69339.708240000007</v>
      </c>
      <c r="BY171">
        <v>5.5583447030000004</v>
      </c>
      <c r="BZ171" s="5">
        <v>39487.03</v>
      </c>
      <c r="CA171" s="5">
        <v>9.5500000000000007</v>
      </c>
      <c r="CB171" s="5">
        <v>0</v>
      </c>
      <c r="CC171" s="5">
        <v>0</v>
      </c>
    </row>
    <row r="172" spans="1:81" x14ac:dyDescent="0.2">
      <c r="A172" s="2">
        <v>43525</v>
      </c>
      <c r="B172">
        <v>2019</v>
      </c>
      <c r="C172">
        <v>3</v>
      </c>
      <c r="E172">
        <v>9.31</v>
      </c>
      <c r="F172">
        <v>20.059999999999999</v>
      </c>
      <c r="G172">
        <v>17.75</v>
      </c>
      <c r="J172">
        <v>7.7000999999999999</v>
      </c>
      <c r="K172">
        <v>1.3371</v>
      </c>
      <c r="L172">
        <v>1.1295999999999999</v>
      </c>
      <c r="M172">
        <v>111.1443</v>
      </c>
      <c r="N172">
        <v>6.7119</v>
      </c>
      <c r="O172">
        <v>0.84481340199999999</v>
      </c>
      <c r="P172">
        <v>83.123401389999998</v>
      </c>
      <c r="Q172">
        <v>5.019744223</v>
      </c>
      <c r="R172">
        <v>1073151</v>
      </c>
      <c r="S172">
        <v>8263350</v>
      </c>
      <c r="T172">
        <v>635.82000000000005</v>
      </c>
      <c r="U172">
        <v>149.05000000000001</v>
      </c>
      <c r="W172">
        <v>7819792.7350000003</v>
      </c>
      <c r="X172">
        <v>33851916.600000001</v>
      </c>
      <c r="Y172">
        <v>1493.31</v>
      </c>
      <c r="Z172">
        <v>1574.08</v>
      </c>
      <c r="AA172">
        <v>286.70999999999998</v>
      </c>
      <c r="AB172">
        <v>249.5</v>
      </c>
      <c r="AC172">
        <v>90.73</v>
      </c>
      <c r="AD172">
        <v>3694.33</v>
      </c>
      <c r="AE172">
        <v>39109197</v>
      </c>
      <c r="AF172">
        <v>27219762</v>
      </c>
      <c r="AG172">
        <v>5363700</v>
      </c>
      <c r="AH172">
        <v>900690</v>
      </c>
      <c r="AI172">
        <v>6300712</v>
      </c>
      <c r="AJ172">
        <v>78894061</v>
      </c>
      <c r="AK172">
        <v>331</v>
      </c>
      <c r="AL172">
        <v>208</v>
      </c>
      <c r="AM172">
        <v>9</v>
      </c>
      <c r="AN172">
        <v>138</v>
      </c>
      <c r="AO172">
        <v>236</v>
      </c>
      <c r="AP172">
        <v>922</v>
      </c>
      <c r="AQ172">
        <v>6118421</v>
      </c>
      <c r="AR172">
        <v>3194290</v>
      </c>
      <c r="AS172">
        <v>186074</v>
      </c>
      <c r="AT172">
        <v>2360384</v>
      </c>
      <c r="AU172">
        <v>3905058</v>
      </c>
      <c r="AV172">
        <v>15764227</v>
      </c>
      <c r="AW172">
        <v>11.88</v>
      </c>
      <c r="AX172">
        <v>7.84</v>
      </c>
      <c r="AY172">
        <v>8.49</v>
      </c>
      <c r="AZ172">
        <v>1.64</v>
      </c>
      <c r="BA172">
        <v>9.69</v>
      </c>
      <c r="BB172">
        <v>8.3800000000000008</v>
      </c>
      <c r="BC172">
        <v>6.97</v>
      </c>
      <c r="BD172">
        <v>9.3800000000000008</v>
      </c>
      <c r="BE172">
        <v>7.76</v>
      </c>
      <c r="BF172">
        <v>7.76</v>
      </c>
      <c r="BG172">
        <v>0.4042</v>
      </c>
      <c r="BH172">
        <v>0.42609999999999998</v>
      </c>
      <c r="BI172">
        <v>7.7600000000000002E-2</v>
      </c>
      <c r="BJ172">
        <v>6.7500000000000004E-2</v>
      </c>
      <c r="BK172">
        <v>0.35899999999999999</v>
      </c>
      <c r="BL172">
        <v>0.22559999999999999</v>
      </c>
      <c r="BM172">
        <v>9.7999999999999997E-3</v>
      </c>
      <c r="BN172">
        <v>0.1497</v>
      </c>
      <c r="BO172">
        <v>-1.1299999999999999</v>
      </c>
      <c r="BP172">
        <v>-4.04</v>
      </c>
      <c r="BQ172">
        <v>-3.39</v>
      </c>
      <c r="BR172">
        <v>-10.24</v>
      </c>
      <c r="BS172">
        <v>7818180.7390000001</v>
      </c>
      <c r="BT172">
        <v>1982570.67</v>
      </c>
      <c r="BU172">
        <v>17.350000000000001</v>
      </c>
      <c r="BV172">
        <v>1499.14</v>
      </c>
      <c r="BW172">
        <v>5.98</v>
      </c>
      <c r="BX172">
        <v>69998.889620000002</v>
      </c>
      <c r="BY172">
        <v>5.9897378699999999</v>
      </c>
      <c r="BZ172" s="5">
        <v>72404.28</v>
      </c>
      <c r="CA172" s="5">
        <v>15.05</v>
      </c>
      <c r="CB172" s="5">
        <v>16049.67</v>
      </c>
      <c r="CC172" s="5">
        <v>9.35</v>
      </c>
    </row>
    <row r="173" spans="1:81" x14ac:dyDescent="0.2">
      <c r="A173" s="2">
        <v>43556</v>
      </c>
      <c r="B173">
        <v>2019</v>
      </c>
      <c r="C173">
        <v>4</v>
      </c>
      <c r="E173">
        <v>7.56</v>
      </c>
      <c r="F173">
        <v>20.39</v>
      </c>
      <c r="G173">
        <v>18.75</v>
      </c>
      <c r="J173">
        <v>5.7445000000000004</v>
      </c>
      <c r="K173">
        <v>1.3378000000000001</v>
      </c>
      <c r="L173">
        <v>1.1234</v>
      </c>
      <c r="M173">
        <v>111.6414</v>
      </c>
      <c r="N173">
        <v>6.7161</v>
      </c>
      <c r="O173">
        <v>0.83973688099999999</v>
      </c>
      <c r="P173">
        <v>83.451487520000001</v>
      </c>
      <c r="Q173">
        <v>5.0202571389999999</v>
      </c>
      <c r="R173">
        <v>1260684</v>
      </c>
      <c r="S173">
        <v>7242005</v>
      </c>
      <c r="T173">
        <v>1580.03</v>
      </c>
      <c r="U173">
        <v>1008.19</v>
      </c>
      <c r="W173">
        <v>3376052.4840000002</v>
      </c>
      <c r="X173">
        <v>34170571.700000003</v>
      </c>
      <c r="Y173">
        <v>1452.11</v>
      </c>
      <c r="Z173">
        <v>1595.15</v>
      </c>
      <c r="AA173">
        <v>248.76</v>
      </c>
      <c r="AB173">
        <v>200.69</v>
      </c>
      <c r="AC173">
        <v>111.67</v>
      </c>
      <c r="AD173">
        <v>3608.38</v>
      </c>
      <c r="AE173">
        <v>33699990</v>
      </c>
      <c r="AF173">
        <v>28262220</v>
      </c>
      <c r="AG173">
        <v>4905324</v>
      </c>
      <c r="AH173">
        <v>2068399</v>
      </c>
      <c r="AI173">
        <v>4325440</v>
      </c>
      <c r="AJ173">
        <v>73261373</v>
      </c>
      <c r="AK173">
        <v>256</v>
      </c>
      <c r="AL173">
        <v>216</v>
      </c>
      <c r="AM173">
        <v>11</v>
      </c>
      <c r="AN173">
        <v>99</v>
      </c>
      <c r="AO173">
        <v>219</v>
      </c>
      <c r="AP173">
        <v>801</v>
      </c>
      <c r="AQ173">
        <v>4725828</v>
      </c>
      <c r="AR173">
        <v>3551605</v>
      </c>
      <c r="AS173">
        <v>208745</v>
      </c>
      <c r="AT173">
        <v>1630473</v>
      </c>
      <c r="AU173">
        <v>3771431</v>
      </c>
      <c r="AV173">
        <v>13888082</v>
      </c>
      <c r="AW173">
        <v>10.53</v>
      </c>
      <c r="AX173">
        <v>8.0399999999999991</v>
      </c>
      <c r="AY173">
        <v>8.94</v>
      </c>
      <c r="AZ173">
        <v>4.67</v>
      </c>
      <c r="BA173">
        <v>9.2100000000000009</v>
      </c>
      <c r="BB173">
        <v>8.3699999999999992</v>
      </c>
      <c r="BC173">
        <v>7.46</v>
      </c>
      <c r="BD173">
        <v>8.61</v>
      </c>
      <c r="BE173">
        <v>7.47</v>
      </c>
      <c r="BF173">
        <v>7.86</v>
      </c>
      <c r="BG173">
        <v>0.40239999999999998</v>
      </c>
      <c r="BH173">
        <v>0.44209999999999999</v>
      </c>
      <c r="BI173">
        <v>6.8900000000000003E-2</v>
      </c>
      <c r="BJ173">
        <v>5.5599999999999997E-2</v>
      </c>
      <c r="BK173">
        <v>0.3196</v>
      </c>
      <c r="BL173">
        <v>0.2697</v>
      </c>
      <c r="BM173">
        <v>1.37E-2</v>
      </c>
      <c r="BN173">
        <v>0.1236</v>
      </c>
      <c r="BO173">
        <v>-0.4</v>
      </c>
      <c r="BP173">
        <v>-2.4900000000000002</v>
      </c>
      <c r="BQ173">
        <v>-1.58</v>
      </c>
      <c r="BR173">
        <v>-5.85</v>
      </c>
      <c r="BS173">
        <v>3376377.9180000001</v>
      </c>
      <c r="BT173">
        <v>141080.25</v>
      </c>
      <c r="BU173">
        <v>3.85</v>
      </c>
      <c r="BV173">
        <v>484579.89</v>
      </c>
      <c r="BW173">
        <v>10</v>
      </c>
      <c r="BX173">
        <v>135440.8297</v>
      </c>
      <c r="BY173">
        <v>4.2473085939999997</v>
      </c>
      <c r="BZ173" s="5">
        <v>67675.360000000001</v>
      </c>
      <c r="CA173" s="5">
        <v>7.9</v>
      </c>
      <c r="CB173" s="5">
        <v>20908.66</v>
      </c>
      <c r="CC173" s="5">
        <v>6.95</v>
      </c>
    </row>
    <row r="174" spans="1:81" x14ac:dyDescent="0.2">
      <c r="A174" s="2">
        <v>43586</v>
      </c>
      <c r="B174">
        <v>2019</v>
      </c>
      <c r="C174">
        <v>5</v>
      </c>
      <c r="E174">
        <v>6.86</v>
      </c>
      <c r="F174">
        <v>20.25</v>
      </c>
      <c r="G174">
        <v>18.75</v>
      </c>
      <c r="J174">
        <v>5.4671000000000003</v>
      </c>
      <c r="K174">
        <v>1.3460000000000001</v>
      </c>
      <c r="L174">
        <v>1.1187</v>
      </c>
      <c r="M174">
        <v>109.9714</v>
      </c>
      <c r="N174">
        <v>6.8518999999999997</v>
      </c>
      <c r="O174">
        <v>0.83112927199999997</v>
      </c>
      <c r="P174">
        <v>81.702377409999997</v>
      </c>
      <c r="Q174">
        <v>5.0905646359999999</v>
      </c>
      <c r="R174">
        <v>2346789</v>
      </c>
      <c r="S174">
        <v>12830201</v>
      </c>
      <c r="T174">
        <v>36066.74</v>
      </c>
      <c r="U174">
        <v>35002.25</v>
      </c>
      <c r="W174">
        <v>5936212.9450000003</v>
      </c>
      <c r="X174">
        <v>34492812</v>
      </c>
      <c r="Y174">
        <v>4240.2</v>
      </c>
      <c r="Z174">
        <v>2761.87</v>
      </c>
      <c r="AA174">
        <v>377.89</v>
      </c>
      <c r="AB174">
        <v>245.39</v>
      </c>
      <c r="AC174">
        <v>68.650000000000006</v>
      </c>
      <c r="AD174">
        <v>7694</v>
      </c>
      <c r="AE174">
        <v>84978698</v>
      </c>
      <c r="AF174">
        <v>48211331</v>
      </c>
      <c r="AG174">
        <v>7000107</v>
      </c>
      <c r="AH174">
        <v>1342293</v>
      </c>
      <c r="AI174">
        <v>5426339</v>
      </c>
      <c r="AJ174">
        <v>146958768</v>
      </c>
      <c r="AK174">
        <v>387</v>
      </c>
      <c r="AL174">
        <v>176</v>
      </c>
      <c r="AM174">
        <v>10</v>
      </c>
      <c r="AN174">
        <v>82</v>
      </c>
      <c r="AO174">
        <v>252</v>
      </c>
      <c r="AP174">
        <v>907</v>
      </c>
      <c r="AQ174">
        <v>6633161</v>
      </c>
      <c r="AR174">
        <v>2965634</v>
      </c>
      <c r="AS174">
        <v>175404</v>
      </c>
      <c r="AT174">
        <v>1342384</v>
      </c>
      <c r="AU174">
        <v>4239464</v>
      </c>
      <c r="AV174">
        <v>15356047</v>
      </c>
      <c r="AW174">
        <v>9.09</v>
      </c>
      <c r="AX174">
        <v>7.92</v>
      </c>
      <c r="AY174">
        <v>8.4</v>
      </c>
      <c r="AZ174">
        <v>2.48</v>
      </c>
      <c r="BA174">
        <v>8.66</v>
      </c>
      <c r="BB174">
        <v>7.77</v>
      </c>
      <c r="BC174">
        <v>7.64</v>
      </c>
      <c r="BD174">
        <v>7.96</v>
      </c>
      <c r="BE174">
        <v>7.43</v>
      </c>
      <c r="BF174">
        <v>7.68</v>
      </c>
      <c r="BG174">
        <v>0.55110000000000003</v>
      </c>
      <c r="BH174">
        <v>0.35899999999999999</v>
      </c>
      <c r="BI174">
        <v>4.9099999999999998E-2</v>
      </c>
      <c r="BJ174">
        <v>3.1899999999999998E-2</v>
      </c>
      <c r="BK174">
        <v>0.42670000000000002</v>
      </c>
      <c r="BL174">
        <v>0.19400000000000001</v>
      </c>
      <c r="BM174">
        <v>1.0999999999999999E-2</v>
      </c>
      <c r="BN174">
        <v>9.0399999999999994E-2</v>
      </c>
      <c r="BO174">
        <v>0.67</v>
      </c>
      <c r="BP174">
        <v>-1.17</v>
      </c>
      <c r="BQ174">
        <v>-0.69</v>
      </c>
      <c r="BR174">
        <v>-6.61</v>
      </c>
      <c r="BS174">
        <v>5934954.7790000001</v>
      </c>
      <c r="BT174">
        <v>171413.61</v>
      </c>
      <c r="BU174">
        <v>6.62</v>
      </c>
      <c r="BV174">
        <v>384886.97</v>
      </c>
      <c r="BW174">
        <v>8.19</v>
      </c>
      <c r="BX174">
        <v>861609.58840000001</v>
      </c>
      <c r="BY174">
        <v>6.9167521809999997</v>
      </c>
      <c r="BZ174" s="5">
        <v>143997.25</v>
      </c>
      <c r="CA174" s="5">
        <v>9.23</v>
      </c>
      <c r="CB174" s="5">
        <v>0</v>
      </c>
      <c r="CC174" s="5">
        <v>0</v>
      </c>
    </row>
    <row r="175" spans="1:81" x14ac:dyDescent="0.2">
      <c r="A175" s="2">
        <v>43617</v>
      </c>
      <c r="B175">
        <v>2019</v>
      </c>
      <c r="C175">
        <v>6</v>
      </c>
      <c r="E175">
        <v>6.35</v>
      </c>
      <c r="F175">
        <v>19.75</v>
      </c>
      <c r="G175">
        <v>18.75</v>
      </c>
      <c r="J175">
        <v>5.1816000000000004</v>
      </c>
      <c r="K175">
        <v>1.3289</v>
      </c>
      <c r="L175">
        <v>1.1294999999999999</v>
      </c>
      <c r="M175">
        <v>108.0685</v>
      </c>
      <c r="N175">
        <v>6.8977000000000004</v>
      </c>
      <c r="O175">
        <v>0.84995108699999999</v>
      </c>
      <c r="P175">
        <v>81.321769880000005</v>
      </c>
      <c r="Q175">
        <v>5.1905335240000001</v>
      </c>
      <c r="R175">
        <v>2312688</v>
      </c>
      <c r="S175">
        <v>11983488</v>
      </c>
      <c r="T175">
        <v>24035.52</v>
      </c>
      <c r="U175">
        <v>22986.5</v>
      </c>
      <c r="W175">
        <v>26190605.530000001</v>
      </c>
      <c r="X175">
        <v>34818672.600000001</v>
      </c>
      <c r="Y175">
        <v>5006.67</v>
      </c>
      <c r="Z175">
        <v>3074.91</v>
      </c>
      <c r="AA175">
        <v>539.38</v>
      </c>
      <c r="AB175">
        <v>246.01</v>
      </c>
      <c r="AC175">
        <v>71.81</v>
      </c>
      <c r="AD175">
        <v>8938.7800000000007</v>
      </c>
      <c r="AE175">
        <v>92349439</v>
      </c>
      <c r="AF175">
        <v>51933715</v>
      </c>
      <c r="AG175">
        <v>9634003</v>
      </c>
      <c r="AH175">
        <v>1211755</v>
      </c>
      <c r="AI175">
        <v>5374033</v>
      </c>
      <c r="AJ175">
        <v>160502945</v>
      </c>
      <c r="AK175">
        <v>348</v>
      </c>
      <c r="AL175">
        <v>140</v>
      </c>
      <c r="AM175">
        <v>10</v>
      </c>
      <c r="AN175">
        <v>127</v>
      </c>
      <c r="AO175">
        <v>231</v>
      </c>
      <c r="AP175">
        <v>856</v>
      </c>
      <c r="AQ175">
        <v>6097297</v>
      </c>
      <c r="AR175">
        <v>2186686</v>
      </c>
      <c r="AS175">
        <v>171243</v>
      </c>
      <c r="AT175">
        <v>1853168</v>
      </c>
      <c r="AU175">
        <v>3916665</v>
      </c>
      <c r="AV175">
        <v>14225059</v>
      </c>
      <c r="AW175">
        <v>8.3699999999999992</v>
      </c>
      <c r="AX175">
        <v>7.66</v>
      </c>
      <c r="AY175">
        <v>8.1</v>
      </c>
      <c r="AZ175">
        <v>2.23</v>
      </c>
      <c r="BA175">
        <v>8.14</v>
      </c>
      <c r="BB175">
        <v>7.95</v>
      </c>
      <c r="BC175">
        <v>7.08</v>
      </c>
      <c r="BD175">
        <v>7.77</v>
      </c>
      <c r="BE175">
        <v>6.62</v>
      </c>
      <c r="BF175">
        <v>7.54</v>
      </c>
      <c r="BG175">
        <v>0.56010000000000004</v>
      </c>
      <c r="BH175">
        <v>0.34399999999999997</v>
      </c>
      <c r="BI175">
        <v>6.0299999999999999E-2</v>
      </c>
      <c r="BJ175">
        <v>2.75E-2</v>
      </c>
      <c r="BK175">
        <v>0.40649999999999997</v>
      </c>
      <c r="BL175">
        <v>0.1636</v>
      </c>
      <c r="BM175">
        <v>1.17E-2</v>
      </c>
      <c r="BN175">
        <v>0.1484</v>
      </c>
      <c r="BO175">
        <v>0.32</v>
      </c>
      <c r="BP175">
        <v>-0.71</v>
      </c>
      <c r="BQ175">
        <v>-0.26</v>
      </c>
      <c r="BR175">
        <v>-6.13</v>
      </c>
      <c r="BS175">
        <v>26189369.539999999</v>
      </c>
      <c r="BT175">
        <v>2135284.7000000002</v>
      </c>
      <c r="BU175">
        <v>18.2</v>
      </c>
      <c r="BV175">
        <v>2502761.79</v>
      </c>
      <c r="BW175">
        <v>10.49</v>
      </c>
      <c r="BX175">
        <v>164072.22959999999</v>
      </c>
      <c r="BY175">
        <v>6.4988755400000002</v>
      </c>
      <c r="BZ175" s="5">
        <v>1696663.52</v>
      </c>
      <c r="CA175" s="5">
        <v>7.01</v>
      </c>
      <c r="CB175" s="5">
        <v>523212.49</v>
      </c>
      <c r="CC175" s="5">
        <v>7.13</v>
      </c>
    </row>
    <row r="176" spans="1:81" x14ac:dyDescent="0.2">
      <c r="A176" s="2">
        <v>43647</v>
      </c>
      <c r="B176">
        <v>2019</v>
      </c>
      <c r="C176">
        <v>7</v>
      </c>
      <c r="E176">
        <v>7.48</v>
      </c>
      <c r="F176">
        <v>19.75</v>
      </c>
      <c r="G176">
        <v>18.78</v>
      </c>
      <c r="J176">
        <v>4.4783999999999997</v>
      </c>
      <c r="K176">
        <v>1.3105</v>
      </c>
      <c r="L176">
        <v>1.1211</v>
      </c>
      <c r="M176">
        <v>108.2864</v>
      </c>
      <c r="N176">
        <v>6.8775000000000004</v>
      </c>
      <c r="O176">
        <v>0.85547501000000004</v>
      </c>
      <c r="P176">
        <v>82.629835940000007</v>
      </c>
      <c r="Q176">
        <v>5.2479969479999999</v>
      </c>
      <c r="R176">
        <v>8635809</v>
      </c>
      <c r="S176">
        <v>38674182</v>
      </c>
      <c r="T176">
        <v>7048.89</v>
      </c>
      <c r="U176">
        <v>3131.75</v>
      </c>
      <c r="W176">
        <v>29426064.170000002</v>
      </c>
      <c r="X176">
        <v>35148189.399999999</v>
      </c>
      <c r="Y176">
        <v>1948.32</v>
      </c>
      <c r="Z176">
        <v>2380.9299999999998</v>
      </c>
      <c r="AA176">
        <v>399.17</v>
      </c>
      <c r="AB176">
        <v>227.13</v>
      </c>
      <c r="AC176">
        <v>91.62</v>
      </c>
      <c r="AD176">
        <v>5047.17</v>
      </c>
      <c r="AE176">
        <v>40593989</v>
      </c>
      <c r="AF176">
        <v>40620214</v>
      </c>
      <c r="AG176">
        <v>7230291</v>
      </c>
      <c r="AH176">
        <v>1640745</v>
      </c>
      <c r="AI176">
        <v>4950525</v>
      </c>
      <c r="AJ176">
        <v>95035764</v>
      </c>
      <c r="AK176">
        <v>375</v>
      </c>
      <c r="AL176">
        <v>106</v>
      </c>
      <c r="AM176">
        <v>8</v>
      </c>
      <c r="AN176">
        <v>993</v>
      </c>
      <c r="AO176">
        <v>230</v>
      </c>
      <c r="AP176">
        <v>1712</v>
      </c>
      <c r="AQ176">
        <v>6562949</v>
      </c>
      <c r="AR176">
        <v>1741938</v>
      </c>
      <c r="AS176">
        <v>159406</v>
      </c>
      <c r="AT176">
        <v>12297314</v>
      </c>
      <c r="AU176">
        <v>3916472</v>
      </c>
      <c r="AV176">
        <v>24678079</v>
      </c>
      <c r="AW176">
        <v>9.4499999999999993</v>
      </c>
      <c r="AX176">
        <v>7.74</v>
      </c>
      <c r="AY176">
        <v>8.2200000000000006</v>
      </c>
      <c r="AZ176">
        <v>3.28</v>
      </c>
      <c r="BA176">
        <v>8.5399999999999991</v>
      </c>
      <c r="BB176">
        <v>7.94</v>
      </c>
      <c r="BC176">
        <v>7.45</v>
      </c>
      <c r="BD176">
        <v>9.0399999999999991</v>
      </c>
      <c r="BE176">
        <v>5.62</v>
      </c>
      <c r="BF176">
        <v>6.54</v>
      </c>
      <c r="BG176">
        <v>0.38600000000000001</v>
      </c>
      <c r="BH176">
        <v>0.47170000000000001</v>
      </c>
      <c r="BI176">
        <v>7.9100000000000004E-2</v>
      </c>
      <c r="BJ176">
        <v>4.4999999999999998E-2</v>
      </c>
      <c r="BK176">
        <v>0.219</v>
      </c>
      <c r="BL176">
        <v>6.1899999999999997E-2</v>
      </c>
      <c r="BM176">
        <v>4.7000000000000002E-3</v>
      </c>
      <c r="BN176">
        <v>0.57999999999999996</v>
      </c>
      <c r="BO176">
        <v>-1.59</v>
      </c>
      <c r="BP176">
        <v>-1.71</v>
      </c>
      <c r="BQ176">
        <v>-1.23</v>
      </c>
      <c r="BR176">
        <v>-6.17</v>
      </c>
      <c r="BS176">
        <v>29427098.829999998</v>
      </c>
      <c r="BT176">
        <v>61927.78</v>
      </c>
      <c r="BU176">
        <v>10.19</v>
      </c>
      <c r="BV176">
        <v>130460.59</v>
      </c>
      <c r="BW176">
        <v>8.4600000000000009</v>
      </c>
      <c r="BX176">
        <v>35031.411800000002</v>
      </c>
      <c r="BY176">
        <v>5.7647120010000004</v>
      </c>
      <c r="BZ176" s="5">
        <v>1408871.85</v>
      </c>
      <c r="CA176" s="5">
        <v>6.1</v>
      </c>
      <c r="CB176" s="5">
        <v>512606.04</v>
      </c>
      <c r="CC176" s="5">
        <v>7.32</v>
      </c>
    </row>
    <row r="177" spans="1:81" x14ac:dyDescent="0.2">
      <c r="A177" s="2">
        <v>43678</v>
      </c>
      <c r="B177">
        <v>2019</v>
      </c>
      <c r="C177">
        <v>8</v>
      </c>
      <c r="E177">
        <v>8.42</v>
      </c>
      <c r="F177">
        <v>19.75</v>
      </c>
      <c r="G177">
        <v>19.190000000000001</v>
      </c>
      <c r="J177">
        <v>4.2157</v>
      </c>
      <c r="K177">
        <v>1.3272999999999999</v>
      </c>
      <c r="L177">
        <v>1.1129</v>
      </c>
      <c r="M177">
        <v>106.18859999999999</v>
      </c>
      <c r="N177">
        <v>7.0629</v>
      </c>
      <c r="O177">
        <v>0.83846907299999995</v>
      </c>
      <c r="P177">
        <v>80.003465680000005</v>
      </c>
      <c r="Q177">
        <v>5.3212536730000002</v>
      </c>
      <c r="R177">
        <v>22450711</v>
      </c>
      <c r="S177">
        <v>94645309</v>
      </c>
      <c r="T177">
        <v>11057.78</v>
      </c>
      <c r="U177">
        <v>874.3</v>
      </c>
      <c r="W177">
        <v>20093115.739999998</v>
      </c>
      <c r="X177">
        <v>35481398.100000001</v>
      </c>
      <c r="Y177">
        <v>1003.06</v>
      </c>
      <c r="Z177">
        <v>2219.38</v>
      </c>
      <c r="AA177">
        <v>413.61</v>
      </c>
      <c r="AB177">
        <v>257.68</v>
      </c>
      <c r="AC177">
        <v>71.8</v>
      </c>
      <c r="AD177">
        <v>3965.53</v>
      </c>
      <c r="AE177">
        <v>23270684</v>
      </c>
      <c r="AF177">
        <v>38576381</v>
      </c>
      <c r="AG177">
        <v>7775677</v>
      </c>
      <c r="AH177">
        <v>1314100</v>
      </c>
      <c r="AI177">
        <v>5463727</v>
      </c>
      <c r="AJ177">
        <v>76400569</v>
      </c>
      <c r="AK177">
        <v>626</v>
      </c>
      <c r="AL177">
        <v>193</v>
      </c>
      <c r="AM177">
        <v>11</v>
      </c>
      <c r="AN177">
        <v>5887</v>
      </c>
      <c r="AO177">
        <v>254</v>
      </c>
      <c r="AP177">
        <v>6971</v>
      </c>
      <c r="AQ177">
        <v>10644746</v>
      </c>
      <c r="AR177">
        <v>3133377</v>
      </c>
      <c r="AS177">
        <v>206124</v>
      </c>
      <c r="AT177">
        <v>67716269</v>
      </c>
      <c r="AU177">
        <v>4417086</v>
      </c>
      <c r="AV177">
        <v>86117602</v>
      </c>
      <c r="AW177">
        <v>10.52</v>
      </c>
      <c r="AX177">
        <v>7.88</v>
      </c>
      <c r="AY177">
        <v>8.5299999999999994</v>
      </c>
      <c r="AZ177">
        <v>2.31</v>
      </c>
      <c r="BA177">
        <v>8.74</v>
      </c>
      <c r="BB177">
        <v>7.71</v>
      </c>
      <c r="BC177">
        <v>7.36</v>
      </c>
      <c r="BD177">
        <v>8.5</v>
      </c>
      <c r="BE177">
        <v>5.22</v>
      </c>
      <c r="BF177">
        <v>5.6</v>
      </c>
      <c r="BG177">
        <v>0.25290000000000001</v>
      </c>
      <c r="BH177">
        <v>0.55969999999999998</v>
      </c>
      <c r="BI177">
        <v>0.1043</v>
      </c>
      <c r="BJ177">
        <v>6.5000000000000002E-2</v>
      </c>
      <c r="BK177">
        <v>8.9800000000000005E-2</v>
      </c>
      <c r="BL177">
        <v>2.7699999999999999E-2</v>
      </c>
      <c r="BM177">
        <v>1.6000000000000001E-3</v>
      </c>
      <c r="BN177">
        <v>0.84450000000000003</v>
      </c>
      <c r="BO177">
        <v>-2.71</v>
      </c>
      <c r="BP177">
        <v>-2.64</v>
      </c>
      <c r="BQ177">
        <v>-2</v>
      </c>
      <c r="BR177">
        <v>-8.2100000000000009</v>
      </c>
      <c r="BS177">
        <v>20093341.719999999</v>
      </c>
      <c r="BT177">
        <v>2368626.09</v>
      </c>
      <c r="BU177">
        <v>17.149999999999999</v>
      </c>
      <c r="BV177">
        <v>5401129.4000000004</v>
      </c>
      <c r="BW177">
        <v>10.45</v>
      </c>
      <c r="BX177">
        <v>177496.16080000001</v>
      </c>
      <c r="BY177">
        <v>6.2344390709999997</v>
      </c>
      <c r="BZ177" s="5">
        <v>780913.24</v>
      </c>
      <c r="CA177" s="5">
        <v>7.98</v>
      </c>
      <c r="CB177" s="5">
        <v>662857.81000000006</v>
      </c>
      <c r="CC177" s="5">
        <v>7.24</v>
      </c>
    </row>
    <row r="178" spans="1:81" x14ac:dyDescent="0.2">
      <c r="A178" s="2">
        <v>43709</v>
      </c>
      <c r="B178">
        <v>2019</v>
      </c>
      <c r="C178">
        <v>9</v>
      </c>
      <c r="E178">
        <v>9.31</v>
      </c>
      <c r="F178">
        <v>20.09</v>
      </c>
      <c r="G178">
        <v>19.97</v>
      </c>
      <c r="J178">
        <v>4.4813999999999998</v>
      </c>
      <c r="K178">
        <v>1.3241000000000001</v>
      </c>
      <c r="L178">
        <v>1.1011</v>
      </c>
      <c r="M178">
        <v>107.54</v>
      </c>
      <c r="N178">
        <v>7.1136999999999997</v>
      </c>
      <c r="O178">
        <v>0.831583717</v>
      </c>
      <c r="P178">
        <v>81.217430710000002</v>
      </c>
      <c r="Q178">
        <v>5.3724794200000003</v>
      </c>
      <c r="R178">
        <v>18419820</v>
      </c>
      <c r="S178">
        <v>82546560</v>
      </c>
      <c r="T178">
        <v>9229.4</v>
      </c>
      <c r="U178">
        <v>874.3</v>
      </c>
      <c r="W178">
        <v>10802809.779999999</v>
      </c>
      <c r="X178">
        <v>35818334.799999997</v>
      </c>
      <c r="Y178">
        <v>542.29</v>
      </c>
      <c r="Z178">
        <v>2884.05</v>
      </c>
      <c r="AA178">
        <v>305.02999999999997</v>
      </c>
      <c r="AB178">
        <v>161.15</v>
      </c>
      <c r="AC178">
        <v>88.66</v>
      </c>
      <c r="AD178">
        <v>3981.18</v>
      </c>
      <c r="AE178">
        <v>13645795</v>
      </c>
      <c r="AF178">
        <v>49520171</v>
      </c>
      <c r="AG178">
        <v>5866980</v>
      </c>
      <c r="AH178">
        <v>1663311</v>
      </c>
      <c r="AI178">
        <v>3577097</v>
      </c>
      <c r="AJ178">
        <v>74273354</v>
      </c>
      <c r="AK178">
        <v>758</v>
      </c>
      <c r="AL178">
        <v>378</v>
      </c>
      <c r="AM178">
        <v>12</v>
      </c>
      <c r="AN178">
        <v>5196</v>
      </c>
      <c r="AO178">
        <v>270</v>
      </c>
      <c r="AP178">
        <v>6614</v>
      </c>
      <c r="AQ178">
        <v>13369569</v>
      </c>
      <c r="AR178">
        <v>6384445</v>
      </c>
      <c r="AS178">
        <v>231973</v>
      </c>
      <c r="AT178">
        <v>62494930</v>
      </c>
      <c r="AU178">
        <v>4692156</v>
      </c>
      <c r="AV178">
        <v>87173073</v>
      </c>
      <c r="AW178">
        <v>11.41</v>
      </c>
      <c r="AX178">
        <v>7.79</v>
      </c>
      <c r="AY178">
        <v>8.7200000000000006</v>
      </c>
      <c r="AZ178">
        <v>4.68</v>
      </c>
      <c r="BA178">
        <v>8.4600000000000009</v>
      </c>
      <c r="BB178">
        <v>8</v>
      </c>
      <c r="BC178">
        <v>7.66</v>
      </c>
      <c r="BD178">
        <v>8.77</v>
      </c>
      <c r="BE178">
        <v>5.46</v>
      </c>
      <c r="BF178">
        <v>5.98</v>
      </c>
      <c r="BG178">
        <v>0.13619999999999999</v>
      </c>
      <c r="BH178">
        <v>0.72440000000000004</v>
      </c>
      <c r="BI178">
        <v>7.6600000000000001E-2</v>
      </c>
      <c r="BJ178">
        <v>4.0500000000000001E-2</v>
      </c>
      <c r="BK178">
        <v>0.11459999999999999</v>
      </c>
      <c r="BL178">
        <v>5.7200000000000001E-2</v>
      </c>
      <c r="BM178">
        <v>1.8E-3</v>
      </c>
      <c r="BN178">
        <v>0.78559999999999997</v>
      </c>
      <c r="BO178">
        <v>-3.16</v>
      </c>
      <c r="BP178">
        <v>-3.62</v>
      </c>
      <c r="BQ178">
        <v>-2.69</v>
      </c>
      <c r="BR178">
        <v>-6.73</v>
      </c>
      <c r="BS178">
        <v>10803064.67</v>
      </c>
      <c r="BT178">
        <v>103782.49</v>
      </c>
      <c r="BU178">
        <v>7.7</v>
      </c>
      <c r="BV178">
        <v>196552.9</v>
      </c>
      <c r="BW178">
        <v>10.92</v>
      </c>
      <c r="BX178">
        <v>261295.97159999999</v>
      </c>
      <c r="BY178">
        <v>6.6673588160000001</v>
      </c>
      <c r="BZ178" s="5">
        <v>871979.66</v>
      </c>
      <c r="CA178" s="5">
        <v>7.8</v>
      </c>
      <c r="CB178" s="5">
        <v>466233.97</v>
      </c>
      <c r="CC178" s="5">
        <v>7.24</v>
      </c>
    </row>
    <row r="179" spans="1:81" x14ac:dyDescent="0.2">
      <c r="A179" s="2">
        <v>43739</v>
      </c>
      <c r="B179">
        <v>2019</v>
      </c>
      <c r="C179">
        <v>10</v>
      </c>
      <c r="E179">
        <v>9.6199999999999992</v>
      </c>
      <c r="F179">
        <v>21.38</v>
      </c>
      <c r="G179">
        <v>23.25</v>
      </c>
      <c r="J179">
        <v>4.9222000000000001</v>
      </c>
      <c r="K179">
        <v>1.3189</v>
      </c>
      <c r="L179">
        <v>1.1057999999999999</v>
      </c>
      <c r="M179">
        <v>108.13679999999999</v>
      </c>
      <c r="N179">
        <v>7.0960999999999999</v>
      </c>
      <c r="O179">
        <v>0.838425961</v>
      </c>
      <c r="P179">
        <v>81.9901433</v>
      </c>
      <c r="Q179">
        <v>5.3803169310000003</v>
      </c>
      <c r="R179">
        <v>21577051</v>
      </c>
      <c r="S179">
        <v>106205659</v>
      </c>
      <c r="T179">
        <v>11257.7</v>
      </c>
      <c r="U179">
        <v>1470.5</v>
      </c>
      <c r="W179">
        <v>4682595.2139999997</v>
      </c>
      <c r="X179">
        <v>36159036.399999999</v>
      </c>
      <c r="Y179">
        <v>274.38</v>
      </c>
      <c r="Z179">
        <v>1239.32</v>
      </c>
      <c r="AA179">
        <v>288.22000000000003</v>
      </c>
      <c r="AB179">
        <v>143.33000000000001</v>
      </c>
      <c r="AC179">
        <v>90.92</v>
      </c>
      <c r="AD179">
        <v>2036.17</v>
      </c>
      <c r="AE179">
        <v>7496987</v>
      </c>
      <c r="AF179">
        <v>22849394</v>
      </c>
      <c r="AG179">
        <v>5076302</v>
      </c>
      <c r="AH179">
        <v>1916974</v>
      </c>
      <c r="AI179">
        <v>3146768</v>
      </c>
      <c r="AJ179">
        <v>40486425</v>
      </c>
      <c r="AK179">
        <v>933</v>
      </c>
      <c r="AL179">
        <v>386</v>
      </c>
      <c r="AM179">
        <v>16</v>
      </c>
      <c r="AN179">
        <v>6431</v>
      </c>
      <c r="AO179">
        <v>307</v>
      </c>
      <c r="AP179">
        <v>8073</v>
      </c>
      <c r="AQ179">
        <v>16280717</v>
      </c>
      <c r="AR179">
        <v>6603475</v>
      </c>
      <c r="AS179">
        <v>297792</v>
      </c>
      <c r="AT179">
        <v>84030743</v>
      </c>
      <c r="AU179">
        <v>5280168</v>
      </c>
      <c r="AV179">
        <v>112492895</v>
      </c>
      <c r="AW179">
        <v>12.39</v>
      </c>
      <c r="AX179">
        <v>8.36</v>
      </c>
      <c r="AY179">
        <v>7.99</v>
      </c>
      <c r="AZ179">
        <v>6.07</v>
      </c>
      <c r="BA179">
        <v>9.02</v>
      </c>
      <c r="BB179">
        <v>7.92</v>
      </c>
      <c r="BC179">
        <v>7.76</v>
      </c>
      <c r="BD179">
        <v>8.44</v>
      </c>
      <c r="BE179">
        <v>5.93</v>
      </c>
      <c r="BF179">
        <v>6.32</v>
      </c>
      <c r="BG179">
        <v>0.1348</v>
      </c>
      <c r="BH179">
        <v>0.60870000000000002</v>
      </c>
      <c r="BI179">
        <v>0.1416</v>
      </c>
      <c r="BJ179">
        <v>7.0400000000000004E-2</v>
      </c>
      <c r="BK179">
        <v>0.11559999999999999</v>
      </c>
      <c r="BL179">
        <v>4.7800000000000002E-2</v>
      </c>
      <c r="BM179">
        <v>2E-3</v>
      </c>
      <c r="BN179">
        <v>0.79659999999999997</v>
      </c>
      <c r="BO179">
        <v>-3.47</v>
      </c>
      <c r="BP179">
        <v>-4.03</v>
      </c>
      <c r="BQ179">
        <v>-4.4000000000000004</v>
      </c>
      <c r="BR179">
        <v>-6.33</v>
      </c>
      <c r="BS179">
        <v>4683456.1430000002</v>
      </c>
      <c r="BT179">
        <v>1420573.35</v>
      </c>
      <c r="BU179">
        <v>18.75</v>
      </c>
      <c r="BV179">
        <v>3298492.92</v>
      </c>
      <c r="BW179">
        <v>11.43</v>
      </c>
      <c r="BX179">
        <v>70391.311979999999</v>
      </c>
      <c r="BY179">
        <v>6.4784557520000003</v>
      </c>
      <c r="BZ179" s="5">
        <v>817869.36</v>
      </c>
      <c r="CA179" s="5">
        <v>7.31</v>
      </c>
      <c r="CB179" s="5">
        <v>156958.24</v>
      </c>
      <c r="CC179" s="5">
        <v>6.21</v>
      </c>
    </row>
    <row r="180" spans="1:81" x14ac:dyDescent="0.2">
      <c r="A180" s="2">
        <v>43770</v>
      </c>
      <c r="B180">
        <v>2019</v>
      </c>
      <c r="C180">
        <v>11</v>
      </c>
      <c r="E180">
        <v>9.42</v>
      </c>
      <c r="F180">
        <v>22.25</v>
      </c>
      <c r="G180">
        <v>25.28</v>
      </c>
      <c r="J180">
        <v>5.1917</v>
      </c>
      <c r="K180">
        <v>1.3237000000000001</v>
      </c>
      <c r="L180">
        <v>1.1051</v>
      </c>
      <c r="M180">
        <v>108.8579</v>
      </c>
      <c r="N180">
        <v>7.0198999999999998</v>
      </c>
      <c r="O180">
        <v>0.83485684100000002</v>
      </c>
      <c r="P180">
        <v>82.237591600000002</v>
      </c>
      <c r="Q180">
        <v>5.303240916</v>
      </c>
      <c r="R180">
        <v>13859494</v>
      </c>
      <c r="S180">
        <v>71954309</v>
      </c>
      <c r="T180">
        <v>9146.27</v>
      </c>
      <c r="U180">
        <v>2859.7</v>
      </c>
      <c r="W180">
        <v>5971979.1279999996</v>
      </c>
      <c r="X180">
        <v>36503539.899999999</v>
      </c>
      <c r="Y180">
        <v>708.95</v>
      </c>
      <c r="Z180">
        <v>1479.1</v>
      </c>
      <c r="AA180">
        <v>260.27</v>
      </c>
      <c r="AB180">
        <v>215.57</v>
      </c>
      <c r="AC180">
        <v>152.28</v>
      </c>
      <c r="AD180">
        <v>2816.17</v>
      </c>
      <c r="AE180">
        <v>16960139</v>
      </c>
      <c r="AF180">
        <v>25594727</v>
      </c>
      <c r="AG180">
        <v>4560787</v>
      </c>
      <c r="AH180">
        <v>1645318</v>
      </c>
      <c r="AI180">
        <v>4438701</v>
      </c>
      <c r="AJ180">
        <v>53199672</v>
      </c>
      <c r="AK180">
        <v>727</v>
      </c>
      <c r="AL180">
        <v>365</v>
      </c>
      <c r="AM180">
        <v>19</v>
      </c>
      <c r="AN180">
        <v>3942</v>
      </c>
      <c r="AO180">
        <v>291</v>
      </c>
      <c r="AP180">
        <v>5344</v>
      </c>
      <c r="AQ180">
        <v>12331222</v>
      </c>
      <c r="AR180">
        <v>6221810</v>
      </c>
      <c r="AS180">
        <v>376592</v>
      </c>
      <c r="AT180">
        <v>54403199</v>
      </c>
      <c r="AU180">
        <v>5043711</v>
      </c>
      <c r="AV180">
        <v>78376534</v>
      </c>
      <c r="AW180">
        <v>10.85</v>
      </c>
      <c r="AX180">
        <v>7.85</v>
      </c>
      <c r="AY180">
        <v>7.95</v>
      </c>
      <c r="AZ180">
        <v>3.46</v>
      </c>
      <c r="BA180">
        <v>8.57</v>
      </c>
      <c r="BB180">
        <v>7.69</v>
      </c>
      <c r="BC180">
        <v>7.73</v>
      </c>
      <c r="BD180">
        <v>8.99</v>
      </c>
      <c r="BE180">
        <v>6.26</v>
      </c>
      <c r="BF180">
        <v>6.65</v>
      </c>
      <c r="BG180">
        <v>0.25169999999999998</v>
      </c>
      <c r="BH180">
        <v>0.5252</v>
      </c>
      <c r="BI180">
        <v>9.2399999999999996E-2</v>
      </c>
      <c r="BJ180">
        <v>7.6499999999999999E-2</v>
      </c>
      <c r="BK180">
        <v>0.13600000000000001</v>
      </c>
      <c r="BL180">
        <v>6.83E-2</v>
      </c>
      <c r="BM180">
        <v>3.5999999999999999E-3</v>
      </c>
      <c r="BN180">
        <v>0.73760000000000003</v>
      </c>
      <c r="BO180">
        <v>-1.94</v>
      </c>
      <c r="BP180">
        <v>-3</v>
      </c>
      <c r="BQ180">
        <v>-2.9</v>
      </c>
      <c r="BR180">
        <v>-7.39</v>
      </c>
      <c r="BS180">
        <v>5973306.5159999998</v>
      </c>
      <c r="BT180">
        <v>3430.39</v>
      </c>
      <c r="BU180">
        <v>5.35</v>
      </c>
      <c r="BV180">
        <v>63457.78</v>
      </c>
      <c r="BW180">
        <v>13.24</v>
      </c>
      <c r="BX180">
        <v>70062.823600000003</v>
      </c>
      <c r="BY180">
        <v>6.5938821230000002</v>
      </c>
      <c r="BZ180" s="5">
        <v>615447.36</v>
      </c>
      <c r="CA180" s="5">
        <v>8.3000000000000007</v>
      </c>
      <c r="CB180" s="5">
        <v>173744.25</v>
      </c>
      <c r="CC180" s="5">
        <v>7.2</v>
      </c>
    </row>
    <row r="181" spans="1:81" x14ac:dyDescent="0.2">
      <c r="A181" s="2">
        <v>43800</v>
      </c>
      <c r="B181">
        <v>2019</v>
      </c>
      <c r="C181">
        <v>12</v>
      </c>
      <c r="E181">
        <v>8.68</v>
      </c>
      <c r="F181">
        <v>22.47</v>
      </c>
      <c r="G181">
        <v>26.14</v>
      </c>
      <c r="J181">
        <v>5.6862000000000004</v>
      </c>
      <c r="K181">
        <v>1.3169</v>
      </c>
      <c r="L181">
        <v>1.1113999999999999</v>
      </c>
      <c r="M181">
        <v>109.101</v>
      </c>
      <c r="N181">
        <v>7.0137</v>
      </c>
      <c r="O181">
        <v>0.84395170500000005</v>
      </c>
      <c r="P181">
        <v>82.846837269999995</v>
      </c>
      <c r="Q181">
        <v>5.3259169259999997</v>
      </c>
      <c r="R181">
        <v>7320009</v>
      </c>
      <c r="S181">
        <v>41623112</v>
      </c>
      <c r="T181">
        <v>25389.599999999999</v>
      </c>
      <c r="U181">
        <v>22069.3</v>
      </c>
      <c r="W181">
        <v>27904245.350000001</v>
      </c>
      <c r="X181">
        <v>36851882.399999999</v>
      </c>
      <c r="Y181">
        <v>3075.79</v>
      </c>
      <c r="Z181">
        <v>2686.12</v>
      </c>
      <c r="AA181">
        <v>1398.33</v>
      </c>
      <c r="AB181">
        <v>459.34</v>
      </c>
      <c r="AC181">
        <v>121.81</v>
      </c>
      <c r="AD181">
        <v>7741.39</v>
      </c>
      <c r="AE181">
        <v>72904480</v>
      </c>
      <c r="AF181">
        <v>48956655</v>
      </c>
      <c r="AG181">
        <v>27262821</v>
      </c>
      <c r="AH181">
        <v>2454719</v>
      </c>
      <c r="AI181">
        <v>9713067</v>
      </c>
      <c r="AJ181">
        <v>161291742</v>
      </c>
      <c r="AK181">
        <v>682</v>
      </c>
      <c r="AL181">
        <v>448</v>
      </c>
      <c r="AM181">
        <v>21</v>
      </c>
      <c r="AN181">
        <v>1268</v>
      </c>
      <c r="AO181">
        <v>403</v>
      </c>
      <c r="AP181">
        <v>2822</v>
      </c>
      <c r="AQ181">
        <v>11656267</v>
      </c>
      <c r="AR181">
        <v>7979182</v>
      </c>
      <c r="AS181">
        <v>399622</v>
      </c>
      <c r="AT181">
        <v>18280038</v>
      </c>
      <c r="AU181">
        <v>6977503</v>
      </c>
      <c r="AV181">
        <v>45292612</v>
      </c>
      <c r="AW181">
        <v>10.75</v>
      </c>
      <c r="AX181">
        <v>8.27</v>
      </c>
      <c r="AY181">
        <v>8.84</v>
      </c>
      <c r="AZ181">
        <v>2.42</v>
      </c>
      <c r="BA181">
        <v>9.4499999999999993</v>
      </c>
      <c r="BB181">
        <v>7.75</v>
      </c>
      <c r="BC181">
        <v>8.08</v>
      </c>
      <c r="BD181">
        <v>8.6300000000000008</v>
      </c>
      <c r="BE181">
        <v>6.54</v>
      </c>
      <c r="BF181">
        <v>7.28</v>
      </c>
      <c r="BG181">
        <v>0.39729999999999999</v>
      </c>
      <c r="BH181">
        <v>0.34699999999999998</v>
      </c>
      <c r="BI181">
        <v>0.18060000000000001</v>
      </c>
      <c r="BJ181">
        <v>5.9299999999999999E-2</v>
      </c>
      <c r="BK181">
        <v>0.2417</v>
      </c>
      <c r="BL181">
        <v>0.1588</v>
      </c>
      <c r="BM181">
        <v>7.4000000000000003E-3</v>
      </c>
      <c r="BN181">
        <v>0.44929999999999998</v>
      </c>
      <c r="BO181">
        <v>-1.62</v>
      </c>
      <c r="BP181">
        <v>-2.48</v>
      </c>
      <c r="BQ181">
        <v>-1.91</v>
      </c>
      <c r="BR181">
        <v>-8.33</v>
      </c>
      <c r="BS181">
        <v>27904666.25</v>
      </c>
      <c r="BT181">
        <v>1527786.23</v>
      </c>
      <c r="BU181">
        <v>17.97</v>
      </c>
      <c r="BV181">
        <v>5439893.2400000002</v>
      </c>
      <c r="BW181">
        <v>10.52</v>
      </c>
      <c r="BX181">
        <v>95863.491460000005</v>
      </c>
      <c r="BY181">
        <v>7.824386412</v>
      </c>
      <c r="BZ181" s="5">
        <v>276587.77</v>
      </c>
      <c r="CA181" s="5">
        <v>7.47</v>
      </c>
      <c r="CB181" s="5">
        <v>54597.52</v>
      </c>
      <c r="CC181" s="5">
        <v>5.14</v>
      </c>
    </row>
    <row r="182" spans="1:81" x14ac:dyDescent="0.2">
      <c r="A182" s="2">
        <v>43831</v>
      </c>
      <c r="B182">
        <v>2020</v>
      </c>
      <c r="C182">
        <v>1</v>
      </c>
      <c r="E182">
        <v>8.7200000000000006</v>
      </c>
      <c r="F182">
        <v>22.86</v>
      </c>
      <c r="G182">
        <v>26.64</v>
      </c>
      <c r="J182">
        <v>6.0862999999999996</v>
      </c>
      <c r="K182">
        <v>1.3089</v>
      </c>
      <c r="L182">
        <v>1.1097999999999999</v>
      </c>
      <c r="M182">
        <v>109.2667</v>
      </c>
      <c r="N182">
        <v>6.9184000000000001</v>
      </c>
      <c r="O182">
        <v>0.84788753900000002</v>
      </c>
      <c r="P182">
        <v>83.479792189999998</v>
      </c>
      <c r="Q182">
        <v>5.2856597140000003</v>
      </c>
      <c r="R182">
        <v>3038352</v>
      </c>
      <c r="S182">
        <v>18492230</v>
      </c>
      <c r="T182">
        <v>8587.9699999999993</v>
      </c>
      <c r="U182">
        <v>7209.8</v>
      </c>
      <c r="W182">
        <v>22579169.140000001</v>
      </c>
      <c r="X182">
        <v>37204101.399999999</v>
      </c>
      <c r="Y182">
        <v>1471.65</v>
      </c>
      <c r="Z182">
        <v>3518.52</v>
      </c>
      <c r="AA182">
        <v>236.96</v>
      </c>
      <c r="AB182">
        <v>305.37</v>
      </c>
      <c r="AC182">
        <v>73.42</v>
      </c>
      <c r="AD182">
        <v>5605.92</v>
      </c>
      <c r="AE182">
        <v>37584734</v>
      </c>
      <c r="AF182">
        <v>80528956</v>
      </c>
      <c r="AG182">
        <v>5036837</v>
      </c>
      <c r="AH182">
        <v>1305494</v>
      </c>
      <c r="AI182">
        <v>6974359</v>
      </c>
      <c r="AJ182">
        <v>131430380</v>
      </c>
      <c r="AK182">
        <v>749</v>
      </c>
      <c r="AL182">
        <v>116</v>
      </c>
      <c r="AM182">
        <v>7</v>
      </c>
      <c r="AN182">
        <v>230</v>
      </c>
      <c r="AO182">
        <v>291</v>
      </c>
      <c r="AP182">
        <v>1393</v>
      </c>
      <c r="AQ182">
        <v>13774247</v>
      </c>
      <c r="AR182">
        <v>2059800</v>
      </c>
      <c r="AS182">
        <v>147629</v>
      </c>
      <c r="AT182">
        <v>3786133</v>
      </c>
      <c r="AU182">
        <v>5043361</v>
      </c>
      <c r="AV182">
        <v>24811170</v>
      </c>
      <c r="AW182">
        <v>11.58</v>
      </c>
      <c r="AX182">
        <v>10.38</v>
      </c>
      <c r="AY182">
        <v>9.64</v>
      </c>
      <c r="AZ182">
        <v>1.94</v>
      </c>
      <c r="BA182">
        <v>10.63</v>
      </c>
      <c r="BB182">
        <v>8.34</v>
      </c>
      <c r="BC182">
        <v>8.0500000000000007</v>
      </c>
      <c r="BD182">
        <v>9.57</v>
      </c>
      <c r="BE182">
        <v>7.47</v>
      </c>
      <c r="BF182">
        <v>8.08</v>
      </c>
      <c r="BG182">
        <v>0.26250000000000001</v>
      </c>
      <c r="BH182">
        <v>0.62760000000000005</v>
      </c>
      <c r="BI182">
        <v>4.2299999999999997E-2</v>
      </c>
      <c r="BJ182">
        <v>5.45E-2</v>
      </c>
      <c r="BK182">
        <v>0.53769999999999996</v>
      </c>
      <c r="BL182">
        <v>8.3299999999999999E-2</v>
      </c>
      <c r="BM182">
        <v>5.0000000000000001E-3</v>
      </c>
      <c r="BN182">
        <v>0.1651</v>
      </c>
      <c r="BO182">
        <v>-1.38</v>
      </c>
      <c r="BP182">
        <v>-1.2</v>
      </c>
      <c r="BQ182">
        <v>-1.94</v>
      </c>
      <c r="BR182">
        <v>-9.65</v>
      </c>
      <c r="BS182">
        <v>22580151.59</v>
      </c>
      <c r="BT182">
        <v>93398.73</v>
      </c>
      <c r="BU182">
        <v>6.63</v>
      </c>
      <c r="BV182">
        <v>170624.36</v>
      </c>
      <c r="BW182">
        <v>10.98</v>
      </c>
      <c r="BX182">
        <v>33265.511180000001</v>
      </c>
      <c r="BY182">
        <v>7.0167266850000001</v>
      </c>
      <c r="BZ182" s="5">
        <v>102041.04</v>
      </c>
      <c r="CA182" s="5">
        <v>8.35</v>
      </c>
      <c r="CB182" s="5">
        <v>0</v>
      </c>
      <c r="CC182" s="5">
        <v>0</v>
      </c>
    </row>
    <row r="183" spans="1:81" x14ac:dyDescent="0.2">
      <c r="A183" s="2">
        <v>43862</v>
      </c>
      <c r="B183">
        <v>2020</v>
      </c>
      <c r="C183">
        <v>2</v>
      </c>
      <c r="E183">
        <v>7.57</v>
      </c>
      <c r="F183">
        <v>22.62</v>
      </c>
      <c r="G183">
        <v>26.75</v>
      </c>
      <c r="J183">
        <v>5.7091000000000003</v>
      </c>
      <c r="K183">
        <v>1.3286</v>
      </c>
      <c r="L183">
        <v>1.0911</v>
      </c>
      <c r="M183">
        <v>110.0295</v>
      </c>
      <c r="N183">
        <v>6.9966999999999997</v>
      </c>
      <c r="O183">
        <v>0.82124040300000001</v>
      </c>
      <c r="P183">
        <v>82.816122230000005</v>
      </c>
      <c r="Q183">
        <v>5.2662200810000002</v>
      </c>
      <c r="R183">
        <v>977173</v>
      </c>
      <c r="S183">
        <v>5578799</v>
      </c>
      <c r="T183">
        <v>561.79</v>
      </c>
      <c r="U183">
        <v>118.55</v>
      </c>
      <c r="W183">
        <v>16455138.91</v>
      </c>
      <c r="X183">
        <v>37560234.899999999</v>
      </c>
      <c r="Y183">
        <v>1934.21</v>
      </c>
      <c r="Z183">
        <v>62.17</v>
      </c>
      <c r="AA183">
        <v>266.32</v>
      </c>
      <c r="AB183">
        <v>237.54</v>
      </c>
      <c r="AC183">
        <v>72.38</v>
      </c>
      <c r="AD183">
        <v>2572.62</v>
      </c>
      <c r="AE183">
        <v>40931798</v>
      </c>
      <c r="AF183">
        <v>1325363</v>
      </c>
      <c r="AG183">
        <v>5316485</v>
      </c>
      <c r="AH183">
        <v>1280229</v>
      </c>
      <c r="AI183">
        <v>5492296</v>
      </c>
      <c r="AJ183">
        <v>54346171</v>
      </c>
      <c r="AK183">
        <v>14</v>
      </c>
      <c r="AL183">
        <v>80</v>
      </c>
      <c r="AM183">
        <v>7</v>
      </c>
      <c r="AN183">
        <v>55</v>
      </c>
      <c r="AO183">
        <v>182</v>
      </c>
      <c r="AP183">
        <v>338</v>
      </c>
      <c r="AQ183">
        <v>243594</v>
      </c>
      <c r="AR183">
        <v>1367112</v>
      </c>
      <c r="AS183">
        <v>141775</v>
      </c>
      <c r="AT183">
        <v>812305</v>
      </c>
      <c r="AU183">
        <v>3182070</v>
      </c>
      <c r="AV183">
        <v>5746856</v>
      </c>
      <c r="AW183">
        <v>9.6</v>
      </c>
      <c r="AX183">
        <v>9.67</v>
      </c>
      <c r="AY183">
        <v>9.0500000000000007</v>
      </c>
      <c r="AZ183">
        <v>2.44</v>
      </c>
      <c r="BA183">
        <v>9.58</v>
      </c>
      <c r="BB183">
        <v>7.89</v>
      </c>
      <c r="BC183">
        <v>7.75</v>
      </c>
      <c r="BD183">
        <v>9.19</v>
      </c>
      <c r="BE183">
        <v>6.7</v>
      </c>
      <c r="BF183">
        <v>7.71</v>
      </c>
      <c r="BG183">
        <v>0.75180000000000002</v>
      </c>
      <c r="BH183">
        <v>2.4199999999999999E-2</v>
      </c>
      <c r="BI183">
        <v>0.10349999999999999</v>
      </c>
      <c r="BJ183">
        <v>9.2299999999999993E-2</v>
      </c>
      <c r="BK183">
        <v>4.1399999999999999E-2</v>
      </c>
      <c r="BL183">
        <v>0.23669999999999999</v>
      </c>
      <c r="BM183">
        <v>2.07E-2</v>
      </c>
      <c r="BN183">
        <v>0.16270000000000001</v>
      </c>
      <c r="BO183">
        <v>-0.53</v>
      </c>
      <c r="BP183">
        <v>7.0000000000000007E-2</v>
      </c>
      <c r="BQ183">
        <v>-0.54</v>
      </c>
      <c r="BR183">
        <v>-7.15</v>
      </c>
      <c r="BS183">
        <v>16454960.050000001</v>
      </c>
      <c r="BT183">
        <v>1525890.25</v>
      </c>
      <c r="BU183">
        <v>17.07</v>
      </c>
      <c r="BV183">
        <v>4037413.2</v>
      </c>
      <c r="BW183">
        <v>10.94</v>
      </c>
      <c r="BX183">
        <v>101610.93580000001</v>
      </c>
      <c r="BY183">
        <v>5.2272031139999999</v>
      </c>
      <c r="BZ183" s="5">
        <v>162729.94</v>
      </c>
      <c r="CA183" s="5">
        <v>8.7899999999999991</v>
      </c>
      <c r="CB183" s="5">
        <v>33739.57</v>
      </c>
      <c r="CC183" s="5">
        <v>6.6</v>
      </c>
    </row>
    <row r="184" spans="1:81" x14ac:dyDescent="0.2">
      <c r="A184" s="2">
        <v>43891</v>
      </c>
      <c r="B184">
        <v>2020</v>
      </c>
      <c r="C184">
        <v>3</v>
      </c>
      <c r="E184">
        <v>7.22</v>
      </c>
      <c r="F184">
        <v>21.81</v>
      </c>
      <c r="G184">
        <v>26.64</v>
      </c>
      <c r="I184">
        <v>4</v>
      </c>
      <c r="J184">
        <v>4.9981999999999998</v>
      </c>
      <c r="K184">
        <v>1.3959999999999999</v>
      </c>
      <c r="L184">
        <v>1.1046</v>
      </c>
      <c r="M184">
        <v>107.6673</v>
      </c>
      <c r="N184">
        <v>7.0205000000000002</v>
      </c>
      <c r="O184">
        <v>0.79126074499999999</v>
      </c>
      <c r="P184">
        <v>77.125573070000002</v>
      </c>
      <c r="Q184">
        <v>5.0290114609999996</v>
      </c>
      <c r="R184">
        <v>544696</v>
      </c>
      <c r="S184">
        <v>2722503</v>
      </c>
      <c r="T184">
        <v>365.62</v>
      </c>
      <c r="U184">
        <v>118.55</v>
      </c>
      <c r="W184">
        <v>8759594.1970000006</v>
      </c>
      <c r="X184">
        <v>37920321.200000003</v>
      </c>
      <c r="Y184">
        <v>1149.95</v>
      </c>
      <c r="Z184">
        <v>613.59</v>
      </c>
      <c r="AA184">
        <v>172.03</v>
      </c>
      <c r="AB184">
        <v>164.18</v>
      </c>
      <c r="AC184">
        <v>54.2</v>
      </c>
      <c r="AD184">
        <v>2153.9499999999998</v>
      </c>
      <c r="AE184">
        <v>24035891</v>
      </c>
      <c r="AF184">
        <v>11597076</v>
      </c>
      <c r="AG184">
        <v>3440142</v>
      </c>
      <c r="AH184">
        <v>1148417</v>
      </c>
      <c r="AI184">
        <v>3547324</v>
      </c>
      <c r="AJ184">
        <v>43768850</v>
      </c>
      <c r="AK184">
        <v>125</v>
      </c>
      <c r="AL184">
        <v>16</v>
      </c>
      <c r="AM184">
        <v>4</v>
      </c>
      <c r="AN184">
        <v>26</v>
      </c>
      <c r="AO184">
        <v>118</v>
      </c>
      <c r="AP184">
        <v>289</v>
      </c>
      <c r="AQ184">
        <v>2077326</v>
      </c>
      <c r="AR184">
        <v>276245</v>
      </c>
      <c r="AS184">
        <v>76560</v>
      </c>
      <c r="AT184">
        <v>343517</v>
      </c>
      <c r="AU184">
        <v>2049186</v>
      </c>
      <c r="AV184">
        <v>4822834</v>
      </c>
      <c r="AW184">
        <v>9.48</v>
      </c>
      <c r="AX184">
        <v>8.57</v>
      </c>
      <c r="AY184">
        <v>9.07</v>
      </c>
      <c r="AZ184">
        <v>3.17</v>
      </c>
      <c r="BA184">
        <v>9.2200000000000006</v>
      </c>
      <c r="BB184">
        <v>7.54</v>
      </c>
      <c r="BC184">
        <v>7.83</v>
      </c>
      <c r="BD184">
        <v>8.68</v>
      </c>
      <c r="BE184">
        <v>5.99</v>
      </c>
      <c r="BF184">
        <v>7.57</v>
      </c>
      <c r="BG184">
        <v>0.53390000000000004</v>
      </c>
      <c r="BH184">
        <v>0.28489999999999999</v>
      </c>
      <c r="BI184">
        <v>7.9899999999999999E-2</v>
      </c>
      <c r="BJ184">
        <v>7.6200000000000004E-2</v>
      </c>
      <c r="BK184">
        <v>0.4325</v>
      </c>
      <c r="BL184">
        <v>5.5399999999999998E-2</v>
      </c>
      <c r="BM184">
        <v>1.38E-2</v>
      </c>
      <c r="BN184">
        <v>0.09</v>
      </c>
      <c r="BO184">
        <v>-0.8</v>
      </c>
      <c r="BP184">
        <v>-0.91</v>
      </c>
      <c r="BQ184">
        <v>-0.41</v>
      </c>
      <c r="BR184">
        <v>-6.31</v>
      </c>
      <c r="BS184">
        <v>8757788.4680000003</v>
      </c>
      <c r="BT184">
        <v>57507.51</v>
      </c>
      <c r="BU184">
        <v>8.7899999999999991</v>
      </c>
      <c r="BV184">
        <v>82651.199999999997</v>
      </c>
      <c r="BW184">
        <v>11.89</v>
      </c>
      <c r="BZ184" s="5">
        <v>151506.20000000001</v>
      </c>
      <c r="CA184" s="5">
        <v>9.14</v>
      </c>
      <c r="CB184" s="5">
        <v>0</v>
      </c>
      <c r="CC184" s="5">
        <v>0</v>
      </c>
    </row>
    <row r="185" spans="1:81" x14ac:dyDescent="0.2">
      <c r="A185" s="2">
        <v>43922</v>
      </c>
      <c r="B185">
        <v>2020</v>
      </c>
      <c r="C185">
        <v>4</v>
      </c>
      <c r="E185">
        <v>6.44</v>
      </c>
      <c r="F185">
        <v>20.67</v>
      </c>
      <c r="G185">
        <v>25.61</v>
      </c>
      <c r="I185">
        <v>4</v>
      </c>
      <c r="J185">
        <v>4.8124000000000002</v>
      </c>
      <c r="K185">
        <v>1.4048</v>
      </c>
      <c r="L185">
        <v>1.0871</v>
      </c>
      <c r="M185">
        <v>107.73860000000001</v>
      </c>
      <c r="N185">
        <v>7.0708000000000002</v>
      </c>
      <c r="O185">
        <v>0.77384681099999997</v>
      </c>
      <c r="P185">
        <v>76.693194759999997</v>
      </c>
      <c r="Q185">
        <v>5.0333143509999996</v>
      </c>
      <c r="R185">
        <v>786222</v>
      </c>
      <c r="S185">
        <v>3783608</v>
      </c>
      <c r="T185">
        <v>1204.3599999999999</v>
      </c>
      <c r="U185">
        <v>847.74</v>
      </c>
      <c r="W185">
        <v>3782498.6409999998</v>
      </c>
      <c r="X185">
        <v>38284399.200000003</v>
      </c>
      <c r="Y185">
        <v>918.09</v>
      </c>
      <c r="Z185">
        <v>947.35</v>
      </c>
      <c r="AA185">
        <v>108.38</v>
      </c>
      <c r="AB185">
        <v>186.95</v>
      </c>
      <c r="AC185">
        <v>7.81</v>
      </c>
      <c r="AD185">
        <v>2168.58</v>
      </c>
      <c r="AE185">
        <v>17092344</v>
      </c>
      <c r="AF185">
        <v>18351853</v>
      </c>
      <c r="AG185">
        <v>2329451</v>
      </c>
      <c r="AH185">
        <v>126088</v>
      </c>
      <c r="AI185">
        <v>3923153</v>
      </c>
      <c r="AJ185">
        <v>41822889</v>
      </c>
      <c r="AK185">
        <v>253</v>
      </c>
      <c r="AL185">
        <v>5</v>
      </c>
      <c r="AM185">
        <v>3</v>
      </c>
      <c r="AN185">
        <v>2</v>
      </c>
      <c r="AO185">
        <v>68</v>
      </c>
      <c r="AP185">
        <v>331</v>
      </c>
      <c r="AQ185">
        <v>4307565</v>
      </c>
      <c r="AR185">
        <v>68956</v>
      </c>
      <c r="AS185">
        <v>41927</v>
      </c>
      <c r="AT185">
        <v>36583</v>
      </c>
      <c r="AU185">
        <v>1230715</v>
      </c>
      <c r="AV185">
        <v>5685746</v>
      </c>
      <c r="AW185">
        <v>8.44</v>
      </c>
      <c r="AX185">
        <v>8.7899999999999991</v>
      </c>
      <c r="AY185">
        <v>9.75</v>
      </c>
      <c r="AZ185">
        <v>0.31</v>
      </c>
      <c r="BA185">
        <v>8.75</v>
      </c>
      <c r="BB185">
        <v>7.72</v>
      </c>
      <c r="BC185">
        <v>6.26</v>
      </c>
      <c r="BD185">
        <v>6.34</v>
      </c>
      <c r="BE185">
        <v>8.3000000000000007</v>
      </c>
      <c r="BF185">
        <v>7.79</v>
      </c>
      <c r="BG185">
        <v>0.4234</v>
      </c>
      <c r="BH185">
        <v>0.43690000000000001</v>
      </c>
      <c r="BI185">
        <v>0.05</v>
      </c>
      <c r="BJ185">
        <v>8.6199999999999999E-2</v>
      </c>
      <c r="BK185">
        <v>0.76439999999999997</v>
      </c>
      <c r="BL185">
        <v>1.5100000000000001E-2</v>
      </c>
      <c r="BM185">
        <v>9.1000000000000004E-3</v>
      </c>
      <c r="BN185">
        <v>6.0000000000000001E-3</v>
      </c>
      <c r="BO185">
        <v>2.29</v>
      </c>
      <c r="BP185">
        <v>0.35</v>
      </c>
      <c r="BQ185">
        <v>1.3</v>
      </c>
      <c r="BR185">
        <v>-8.14</v>
      </c>
      <c r="BS185">
        <v>3782863.2540000002</v>
      </c>
      <c r="BT185">
        <v>1676796.49</v>
      </c>
      <c r="BU185">
        <v>16.2</v>
      </c>
      <c r="BV185">
        <v>4104870.16</v>
      </c>
      <c r="BW185">
        <v>12.57</v>
      </c>
      <c r="BX185">
        <v>18177.091899999999</v>
      </c>
      <c r="BY185">
        <v>4.8008779669999999</v>
      </c>
      <c r="BZ185" s="5">
        <v>9279.26</v>
      </c>
      <c r="CA185" s="5">
        <v>6.45</v>
      </c>
      <c r="CB185" s="5">
        <v>0</v>
      </c>
      <c r="CC185" s="5">
        <v>0</v>
      </c>
    </row>
    <row r="186" spans="1:81" x14ac:dyDescent="0.2">
      <c r="A186" s="2">
        <v>43952</v>
      </c>
      <c r="B186">
        <v>2020</v>
      </c>
      <c r="C186">
        <v>5</v>
      </c>
      <c r="E186">
        <v>5.99</v>
      </c>
      <c r="F186">
        <v>18.12</v>
      </c>
      <c r="G186">
        <v>22.84</v>
      </c>
      <c r="J186">
        <v>4.7469999999999999</v>
      </c>
      <c r="K186">
        <v>1.3972</v>
      </c>
      <c r="L186">
        <v>1.0907</v>
      </c>
      <c r="M186">
        <v>107.2</v>
      </c>
      <c r="N186">
        <v>7.1016000000000004</v>
      </c>
      <c r="O186">
        <v>0.78063269400000002</v>
      </c>
      <c r="P186">
        <v>76.724878329999996</v>
      </c>
      <c r="Q186">
        <v>5.0827369019999997</v>
      </c>
      <c r="R186">
        <v>1376150</v>
      </c>
      <c r="S186">
        <v>6532607</v>
      </c>
      <c r="T186">
        <v>35295.31</v>
      </c>
      <c r="U186">
        <v>34671.1</v>
      </c>
      <c r="W186">
        <v>6652096.6610000003</v>
      </c>
      <c r="X186">
        <v>38652508.200000003</v>
      </c>
      <c r="Y186">
        <v>3760.5</v>
      </c>
      <c r="Z186">
        <v>1995.17</v>
      </c>
      <c r="AA186">
        <v>218.46</v>
      </c>
      <c r="AB186">
        <v>285.27</v>
      </c>
      <c r="AC186">
        <v>22.26</v>
      </c>
      <c r="AD186">
        <v>6281.66</v>
      </c>
      <c r="AE186">
        <v>65990229</v>
      </c>
      <c r="AF186">
        <v>38280223</v>
      </c>
      <c r="AG186">
        <v>4079992</v>
      </c>
      <c r="AH186">
        <v>398840</v>
      </c>
      <c r="AI186">
        <v>5838515</v>
      </c>
      <c r="AJ186">
        <v>114587799</v>
      </c>
      <c r="AK186">
        <v>366</v>
      </c>
      <c r="AL186">
        <v>16</v>
      </c>
      <c r="AM186">
        <v>1</v>
      </c>
      <c r="AN186">
        <v>7</v>
      </c>
      <c r="AO186">
        <v>74</v>
      </c>
      <c r="AP186">
        <v>464</v>
      </c>
      <c r="AQ186">
        <v>5932084</v>
      </c>
      <c r="AR186">
        <v>230500</v>
      </c>
      <c r="AS186">
        <v>23972</v>
      </c>
      <c r="AT186">
        <v>108051</v>
      </c>
      <c r="AU186">
        <v>1285346</v>
      </c>
      <c r="AV186">
        <v>7579953</v>
      </c>
      <c r="AW186">
        <v>7.96</v>
      </c>
      <c r="AX186">
        <v>8.6999999999999993</v>
      </c>
      <c r="AY186">
        <v>8.4700000000000006</v>
      </c>
      <c r="AZ186">
        <v>0.63</v>
      </c>
      <c r="BA186">
        <v>8.27</v>
      </c>
      <c r="BB186">
        <v>7.35</v>
      </c>
      <c r="BC186">
        <v>6.53</v>
      </c>
      <c r="BD186">
        <v>10.87</v>
      </c>
      <c r="BE186">
        <v>7</v>
      </c>
      <c r="BF186">
        <v>7.41</v>
      </c>
      <c r="BG186">
        <v>0.59860000000000002</v>
      </c>
      <c r="BH186">
        <v>0.31759999999999999</v>
      </c>
      <c r="BI186">
        <v>3.4799999999999998E-2</v>
      </c>
      <c r="BJ186">
        <v>4.5400000000000003E-2</v>
      </c>
      <c r="BK186">
        <v>0.78879999999999995</v>
      </c>
      <c r="BL186">
        <v>3.4500000000000003E-2</v>
      </c>
      <c r="BM186">
        <v>2.2000000000000001E-3</v>
      </c>
      <c r="BN186">
        <v>1.5100000000000001E-2</v>
      </c>
      <c r="BO186">
        <v>1.3</v>
      </c>
      <c r="BP186">
        <v>0.74</v>
      </c>
      <c r="BQ186">
        <v>0.51</v>
      </c>
      <c r="BR186">
        <v>-7.33</v>
      </c>
      <c r="BS186">
        <v>6650686.7649999997</v>
      </c>
      <c r="BT186">
        <v>121778.8</v>
      </c>
      <c r="BU186">
        <v>6.13</v>
      </c>
      <c r="BV186">
        <v>108967.75</v>
      </c>
      <c r="BW186">
        <v>12.02</v>
      </c>
      <c r="BX186">
        <v>381165.57030000002</v>
      </c>
      <c r="BY186">
        <v>5.059562433</v>
      </c>
      <c r="BZ186" s="5">
        <v>135487.4</v>
      </c>
      <c r="CA186" s="5">
        <v>3.84</v>
      </c>
      <c r="CB186" s="5">
        <v>83414.17</v>
      </c>
      <c r="CC186" s="5">
        <v>7.07</v>
      </c>
    </row>
    <row r="187" spans="1:81" x14ac:dyDescent="0.2">
      <c r="A187" s="2">
        <v>43983</v>
      </c>
      <c r="B187">
        <v>2020</v>
      </c>
      <c r="C187">
        <v>6</v>
      </c>
      <c r="E187">
        <v>4.62</v>
      </c>
      <c r="F187">
        <v>16.809999999999999</v>
      </c>
      <c r="G187">
        <v>20.58</v>
      </c>
      <c r="J187">
        <v>3.4592000000000001</v>
      </c>
      <c r="K187">
        <v>1.3552</v>
      </c>
      <c r="L187">
        <v>1.1258999999999999</v>
      </c>
      <c r="M187">
        <v>107.5782</v>
      </c>
      <c r="N187">
        <v>7.0815999999999999</v>
      </c>
      <c r="O187">
        <v>0.83079988199999999</v>
      </c>
      <c r="P187">
        <v>79.381788670000006</v>
      </c>
      <c r="Q187">
        <v>5.2255017710000002</v>
      </c>
      <c r="R187">
        <v>2751280</v>
      </c>
      <c r="S187">
        <v>9517121</v>
      </c>
      <c r="T187">
        <v>24476.61</v>
      </c>
      <c r="U187">
        <v>23228.65</v>
      </c>
      <c r="W187">
        <v>29354370.390000001</v>
      </c>
      <c r="X187">
        <v>39024688.100000001</v>
      </c>
      <c r="Y187">
        <v>5183.5</v>
      </c>
      <c r="Z187">
        <v>2318.0700000000002</v>
      </c>
      <c r="AA187">
        <v>675.87</v>
      </c>
      <c r="AB187">
        <v>415.48</v>
      </c>
      <c r="AC187">
        <v>46.32</v>
      </c>
      <c r="AD187">
        <v>8639.24</v>
      </c>
      <c r="AE187">
        <v>88531020</v>
      </c>
      <c r="AF187">
        <v>40433083</v>
      </c>
      <c r="AG187">
        <v>12581282</v>
      </c>
      <c r="AH187">
        <v>929135</v>
      </c>
      <c r="AI187">
        <v>8133739</v>
      </c>
      <c r="AJ187">
        <v>150608259</v>
      </c>
      <c r="AK187">
        <v>546</v>
      </c>
      <c r="AL187">
        <v>63</v>
      </c>
      <c r="AM187">
        <v>7</v>
      </c>
      <c r="AN187">
        <v>53</v>
      </c>
      <c r="AO187">
        <v>94</v>
      </c>
      <c r="AP187">
        <v>763</v>
      </c>
      <c r="AQ187">
        <v>8459701</v>
      </c>
      <c r="AR187">
        <v>977119</v>
      </c>
      <c r="AS187">
        <v>114408</v>
      </c>
      <c r="AT187">
        <v>762732</v>
      </c>
      <c r="AU187">
        <v>1622427</v>
      </c>
      <c r="AV187">
        <v>11936387</v>
      </c>
      <c r="AW187">
        <v>7.75</v>
      </c>
      <c r="AX187">
        <v>7.91</v>
      </c>
      <c r="AY187">
        <v>8.44</v>
      </c>
      <c r="AZ187">
        <v>1.01</v>
      </c>
      <c r="BA187">
        <v>7.91</v>
      </c>
      <c r="BB187">
        <v>7.03</v>
      </c>
      <c r="BC187">
        <v>7.04</v>
      </c>
      <c r="BD187">
        <v>7.41</v>
      </c>
      <c r="BE187">
        <v>6.53</v>
      </c>
      <c r="BF187">
        <v>7.1</v>
      </c>
      <c r="BG187">
        <v>0.6</v>
      </c>
      <c r="BH187">
        <v>0.26829999999999998</v>
      </c>
      <c r="BI187">
        <v>7.8200000000000006E-2</v>
      </c>
      <c r="BJ187">
        <v>4.8099999999999997E-2</v>
      </c>
      <c r="BK187">
        <v>0.71560000000000001</v>
      </c>
      <c r="BL187">
        <v>8.2600000000000007E-2</v>
      </c>
      <c r="BM187">
        <v>9.1999999999999998E-3</v>
      </c>
      <c r="BN187">
        <v>6.9500000000000006E-2</v>
      </c>
      <c r="BO187">
        <v>0.81</v>
      </c>
      <c r="BP187">
        <v>0.16</v>
      </c>
      <c r="BQ187">
        <v>0.7</v>
      </c>
      <c r="BR187">
        <v>-6.73</v>
      </c>
      <c r="BS187">
        <v>29352985.100000001</v>
      </c>
      <c r="BT187">
        <v>1266307.27</v>
      </c>
      <c r="BU187">
        <v>16.16</v>
      </c>
      <c r="BV187">
        <v>2628533.15</v>
      </c>
      <c r="BW187">
        <v>11.95</v>
      </c>
      <c r="BX187">
        <v>312985.49219999998</v>
      </c>
      <c r="BY187">
        <v>5.3588298559999998</v>
      </c>
      <c r="BZ187" s="5">
        <v>1659231.2</v>
      </c>
      <c r="CA187" s="5">
        <v>5.44</v>
      </c>
      <c r="CB187" s="5">
        <v>459234.29</v>
      </c>
      <c r="CC187" s="5">
        <v>5.77</v>
      </c>
    </row>
    <row r="188" spans="1:81" x14ac:dyDescent="0.2">
      <c r="A188" s="2">
        <v>44013</v>
      </c>
      <c r="B188">
        <v>2020</v>
      </c>
      <c r="C188">
        <v>7</v>
      </c>
      <c r="E188">
        <v>5.48</v>
      </c>
      <c r="F188">
        <v>17.309999999999999</v>
      </c>
      <c r="G188">
        <v>20.25</v>
      </c>
      <c r="J188">
        <v>3.2103999999999999</v>
      </c>
      <c r="K188">
        <v>1.3496999999999999</v>
      </c>
      <c r="L188">
        <v>1.1488</v>
      </c>
      <c r="M188">
        <v>106.6818</v>
      </c>
      <c r="N188">
        <v>7.0041000000000002</v>
      </c>
      <c r="O188">
        <v>0.85115210799999996</v>
      </c>
      <c r="P188">
        <v>79.041120250000006</v>
      </c>
      <c r="Q188">
        <v>5.1893754169999999</v>
      </c>
      <c r="R188">
        <v>16569356</v>
      </c>
      <c r="S188">
        <v>53194628</v>
      </c>
      <c r="T188">
        <v>10504.19</v>
      </c>
      <c r="U188">
        <v>2988.45</v>
      </c>
      <c r="W188">
        <v>32986499.870000001</v>
      </c>
      <c r="X188">
        <v>39400979.299999997</v>
      </c>
      <c r="Y188">
        <v>1346.37</v>
      </c>
      <c r="Z188">
        <v>2240.89</v>
      </c>
      <c r="AA188">
        <v>406.14</v>
      </c>
      <c r="AB188">
        <v>308.16000000000003</v>
      </c>
      <c r="AC188">
        <v>48.74</v>
      </c>
      <c r="AD188">
        <v>4350.3</v>
      </c>
      <c r="AE188">
        <v>24000797</v>
      </c>
      <c r="AF188">
        <v>37053090</v>
      </c>
      <c r="AG188">
        <v>7621898</v>
      </c>
      <c r="AH188">
        <v>955330</v>
      </c>
      <c r="AI188">
        <v>5400610</v>
      </c>
      <c r="AJ188">
        <v>75031725</v>
      </c>
      <c r="AK188">
        <v>361</v>
      </c>
      <c r="AL188">
        <v>59</v>
      </c>
      <c r="AM188">
        <v>6</v>
      </c>
      <c r="AN188">
        <v>3849</v>
      </c>
      <c r="AO188">
        <v>185</v>
      </c>
      <c r="AP188">
        <v>4460</v>
      </c>
      <c r="AQ188">
        <v>5171095</v>
      </c>
      <c r="AR188">
        <v>927375</v>
      </c>
      <c r="AS188">
        <v>107391</v>
      </c>
      <c r="AT188">
        <v>35073205</v>
      </c>
      <c r="AU188">
        <v>3161575</v>
      </c>
      <c r="AV188">
        <v>44440641</v>
      </c>
      <c r="AW188">
        <v>8.09</v>
      </c>
      <c r="AX188">
        <v>7.5</v>
      </c>
      <c r="AY188">
        <v>8.51</v>
      </c>
      <c r="AZ188">
        <v>1.41</v>
      </c>
      <c r="BA188">
        <v>7.82</v>
      </c>
      <c r="BB188">
        <v>6.5</v>
      </c>
      <c r="BC188">
        <v>7.13</v>
      </c>
      <c r="BD188">
        <v>8.1199999999999992</v>
      </c>
      <c r="BE188">
        <v>4.13</v>
      </c>
      <c r="BF188">
        <v>4.5199999999999996</v>
      </c>
      <c r="BG188">
        <v>0.3095</v>
      </c>
      <c r="BH188">
        <v>0.5151</v>
      </c>
      <c r="BI188">
        <v>9.3399999999999997E-2</v>
      </c>
      <c r="BJ188">
        <v>7.0800000000000002E-2</v>
      </c>
      <c r="BK188">
        <v>8.09E-2</v>
      </c>
      <c r="BL188">
        <v>1.32E-2</v>
      </c>
      <c r="BM188">
        <v>1.2999999999999999E-3</v>
      </c>
      <c r="BN188">
        <v>0.86299999999999999</v>
      </c>
      <c r="BO188">
        <v>-1.86</v>
      </c>
      <c r="BP188">
        <v>-0.59</v>
      </c>
      <c r="BQ188">
        <v>0.43</v>
      </c>
      <c r="BR188">
        <v>-6.68</v>
      </c>
      <c r="BS188">
        <v>32987659.73</v>
      </c>
      <c r="BT188">
        <v>35359.9</v>
      </c>
      <c r="BU188">
        <v>7.36</v>
      </c>
      <c r="BV188">
        <v>64961.33</v>
      </c>
      <c r="BW188">
        <v>12.23</v>
      </c>
      <c r="BX188">
        <v>332331.03269999998</v>
      </c>
      <c r="BY188">
        <v>5.1356323430000002</v>
      </c>
      <c r="BZ188" s="5">
        <v>1276878.78</v>
      </c>
      <c r="CA188" s="5">
        <v>5.36</v>
      </c>
      <c r="CB188" s="5">
        <v>491840.69</v>
      </c>
      <c r="CC188" s="5">
        <v>5.73</v>
      </c>
    </row>
    <row r="189" spans="1:81" x14ac:dyDescent="0.2">
      <c r="A189" s="2">
        <v>44044</v>
      </c>
      <c r="B189">
        <v>2020</v>
      </c>
      <c r="C189">
        <v>8</v>
      </c>
      <c r="E189">
        <v>6.66</v>
      </c>
      <c r="F189">
        <v>17.5</v>
      </c>
      <c r="G189">
        <v>20.25</v>
      </c>
      <c r="J189">
        <v>3.3877999999999999</v>
      </c>
      <c r="K189">
        <v>1.3229</v>
      </c>
      <c r="L189">
        <v>1.1831</v>
      </c>
      <c r="M189">
        <v>106.0129</v>
      </c>
      <c r="N189">
        <v>6.9269999999999996</v>
      </c>
      <c r="O189">
        <v>0.89432307799999999</v>
      </c>
      <c r="P189">
        <v>80.13674503</v>
      </c>
      <c r="Q189">
        <v>5.2362234479999996</v>
      </c>
      <c r="R189">
        <v>17599948</v>
      </c>
      <c r="S189">
        <v>59625732</v>
      </c>
      <c r="T189">
        <v>8909.11</v>
      </c>
      <c r="U189">
        <v>925.9</v>
      </c>
      <c r="W189">
        <v>22528219.620000001</v>
      </c>
      <c r="X189">
        <v>39781422.600000001</v>
      </c>
      <c r="Y189">
        <v>672.3</v>
      </c>
      <c r="Z189">
        <v>2416.4899999999998</v>
      </c>
      <c r="AA189">
        <v>589.11</v>
      </c>
      <c r="AB189">
        <v>258.83</v>
      </c>
      <c r="AC189">
        <v>47.84</v>
      </c>
      <c r="AD189">
        <v>3984.57</v>
      </c>
      <c r="AE189">
        <v>12630922</v>
      </c>
      <c r="AF189">
        <v>40998341</v>
      </c>
      <c r="AG189">
        <v>11929072</v>
      </c>
      <c r="AH189">
        <v>863016</v>
      </c>
      <c r="AI189">
        <v>4954746</v>
      </c>
      <c r="AJ189">
        <v>71376097</v>
      </c>
      <c r="AK189">
        <v>651</v>
      </c>
      <c r="AL189">
        <v>117</v>
      </c>
      <c r="AM189">
        <v>9</v>
      </c>
      <c r="AN189">
        <v>3309</v>
      </c>
      <c r="AO189">
        <v>224</v>
      </c>
      <c r="AP189">
        <v>4310</v>
      </c>
      <c r="AQ189">
        <v>10604684</v>
      </c>
      <c r="AR189">
        <v>1985529</v>
      </c>
      <c r="AS189">
        <v>151491</v>
      </c>
      <c r="AT189">
        <v>31801942</v>
      </c>
      <c r="AU189">
        <v>3894220</v>
      </c>
      <c r="AV189">
        <v>48437866</v>
      </c>
      <c r="AW189">
        <v>8.52</v>
      </c>
      <c r="AX189">
        <v>7.7</v>
      </c>
      <c r="AY189">
        <v>9.18</v>
      </c>
      <c r="AZ189">
        <v>1.51</v>
      </c>
      <c r="BA189">
        <v>8.1300000000000008</v>
      </c>
      <c r="BB189">
        <v>7.39</v>
      </c>
      <c r="BC189">
        <v>7.7</v>
      </c>
      <c r="BD189">
        <v>7.64</v>
      </c>
      <c r="BE189">
        <v>4.3600000000000003</v>
      </c>
      <c r="BF189">
        <v>5.0999999999999996</v>
      </c>
      <c r="BG189">
        <v>0.16869999999999999</v>
      </c>
      <c r="BH189">
        <v>0.60650000000000004</v>
      </c>
      <c r="BI189">
        <v>0.14779999999999999</v>
      </c>
      <c r="BJ189">
        <v>6.5000000000000002E-2</v>
      </c>
      <c r="BK189">
        <v>0.151</v>
      </c>
      <c r="BL189">
        <v>2.7099999999999999E-2</v>
      </c>
      <c r="BM189">
        <v>2.0999999999999999E-3</v>
      </c>
      <c r="BN189">
        <v>0.76770000000000005</v>
      </c>
      <c r="BO189">
        <v>-2.08</v>
      </c>
      <c r="BP189">
        <v>-0.82</v>
      </c>
      <c r="BQ189">
        <v>0.66</v>
      </c>
      <c r="BR189">
        <v>-7.01</v>
      </c>
      <c r="BS189">
        <v>22528472.98</v>
      </c>
      <c r="BT189">
        <v>1423445.97</v>
      </c>
      <c r="BU189">
        <v>15.08</v>
      </c>
      <c r="BV189">
        <v>2770003.62</v>
      </c>
      <c r="BW189">
        <v>13.58</v>
      </c>
      <c r="BX189">
        <v>37983.397980000002</v>
      </c>
      <c r="BY189">
        <v>4.9431333159999999</v>
      </c>
      <c r="BZ189" s="5">
        <v>688382.95</v>
      </c>
      <c r="CA189" s="5">
        <v>5.21</v>
      </c>
      <c r="CB189" s="5">
        <v>179202.9</v>
      </c>
      <c r="CC189" s="5">
        <v>6.65</v>
      </c>
    </row>
    <row r="190" spans="1:81" x14ac:dyDescent="0.2">
      <c r="A190" s="2">
        <v>44075</v>
      </c>
      <c r="B190">
        <v>2020</v>
      </c>
      <c r="C190">
        <v>9</v>
      </c>
      <c r="E190">
        <v>8.51</v>
      </c>
      <c r="F190">
        <v>18.170000000000002</v>
      </c>
      <c r="G190">
        <v>20.89</v>
      </c>
      <c r="J190">
        <v>4.2892999999999999</v>
      </c>
      <c r="K190">
        <v>1.323</v>
      </c>
      <c r="L190">
        <v>1.1785000000000001</v>
      </c>
      <c r="M190">
        <v>105.589</v>
      </c>
      <c r="N190">
        <v>6.8106</v>
      </c>
      <c r="O190">
        <v>0.89077853399999996</v>
      </c>
      <c r="P190">
        <v>79.81027967</v>
      </c>
      <c r="Q190">
        <v>5.1478458050000002</v>
      </c>
      <c r="R190">
        <v>15470795</v>
      </c>
      <c r="S190">
        <v>66359187</v>
      </c>
      <c r="T190">
        <v>7943.34</v>
      </c>
      <c r="U190">
        <v>925.9</v>
      </c>
      <c r="W190">
        <v>12114083.42</v>
      </c>
      <c r="X190">
        <v>40166059.100000001</v>
      </c>
      <c r="Y190">
        <v>279.08</v>
      </c>
      <c r="Z190">
        <v>2277.81</v>
      </c>
      <c r="AA190">
        <v>466.55</v>
      </c>
      <c r="AB190">
        <v>233.04</v>
      </c>
      <c r="AC190">
        <v>55.78</v>
      </c>
      <c r="AD190">
        <v>3312.26</v>
      </c>
      <c r="AE190">
        <v>6077330</v>
      </c>
      <c r="AF190">
        <v>44559582</v>
      </c>
      <c r="AG190">
        <v>9836119</v>
      </c>
      <c r="AH190">
        <v>1070029</v>
      </c>
      <c r="AI190">
        <v>4532160</v>
      </c>
      <c r="AJ190">
        <v>66075220</v>
      </c>
      <c r="AK190">
        <v>1306</v>
      </c>
      <c r="AL190">
        <v>191</v>
      </c>
      <c r="AM190">
        <v>11</v>
      </c>
      <c r="AN190">
        <v>2506</v>
      </c>
      <c r="AO190">
        <v>145</v>
      </c>
      <c r="AP190">
        <v>4159</v>
      </c>
      <c r="AQ190">
        <v>20510554</v>
      </c>
      <c r="AR190">
        <v>3223497</v>
      </c>
      <c r="AS190">
        <v>190305</v>
      </c>
      <c r="AT190">
        <v>29424590</v>
      </c>
      <c r="AU190">
        <v>2506010</v>
      </c>
      <c r="AV190">
        <v>55854956</v>
      </c>
      <c r="AW190">
        <v>9.8800000000000008</v>
      </c>
      <c r="AX190">
        <v>8.8699999999999992</v>
      </c>
      <c r="AY190">
        <v>9.56</v>
      </c>
      <c r="AZ190">
        <v>2.08</v>
      </c>
      <c r="BA190">
        <v>9.0500000000000007</v>
      </c>
      <c r="BB190">
        <v>7.12</v>
      </c>
      <c r="BC190">
        <v>7.66</v>
      </c>
      <c r="BD190">
        <v>7.85</v>
      </c>
      <c r="BE190">
        <v>5.33</v>
      </c>
      <c r="BF190">
        <v>6.09</v>
      </c>
      <c r="BG190">
        <v>8.43E-2</v>
      </c>
      <c r="BH190">
        <v>0.68769999999999998</v>
      </c>
      <c r="BI190">
        <v>0.1409</v>
      </c>
      <c r="BJ190">
        <v>7.0400000000000004E-2</v>
      </c>
      <c r="BK190">
        <v>0.314</v>
      </c>
      <c r="BL190">
        <v>4.5900000000000003E-2</v>
      </c>
      <c r="BM190">
        <v>2.5999999999999999E-3</v>
      </c>
      <c r="BN190">
        <v>0.60250000000000004</v>
      </c>
      <c r="BO190">
        <v>-2.14</v>
      </c>
      <c r="BP190">
        <v>-1.01</v>
      </c>
      <c r="BQ190">
        <v>-0.31</v>
      </c>
      <c r="BR190">
        <v>-7.79</v>
      </c>
      <c r="BS190">
        <v>12114369.25</v>
      </c>
      <c r="BT190">
        <v>164971.71</v>
      </c>
      <c r="BU190">
        <v>4.57</v>
      </c>
      <c r="BV190">
        <v>106919.66</v>
      </c>
      <c r="BW190">
        <v>10.84</v>
      </c>
      <c r="BX190">
        <v>114701.9694</v>
      </c>
      <c r="BY190">
        <v>5.1185433280000003</v>
      </c>
      <c r="BZ190" s="5">
        <v>1126882.75</v>
      </c>
      <c r="CA190" s="5">
        <v>6.54</v>
      </c>
      <c r="CB190" s="5">
        <v>389213.21</v>
      </c>
      <c r="CC190" s="5">
        <v>6.79</v>
      </c>
    </row>
    <row r="191" spans="1:81" x14ac:dyDescent="0.2">
      <c r="A191" s="2">
        <v>44105</v>
      </c>
      <c r="B191">
        <v>2020</v>
      </c>
      <c r="C191">
        <v>10</v>
      </c>
      <c r="E191">
        <v>9.11</v>
      </c>
      <c r="F191">
        <v>19.78</v>
      </c>
      <c r="G191">
        <v>22.83</v>
      </c>
      <c r="I191">
        <v>10</v>
      </c>
      <c r="J191">
        <v>4.7363</v>
      </c>
      <c r="K191">
        <v>1.3218000000000001</v>
      </c>
      <c r="L191">
        <v>1.1768000000000001</v>
      </c>
      <c r="M191">
        <v>105.20950000000001</v>
      </c>
      <c r="N191">
        <v>6.7253999999999996</v>
      </c>
      <c r="O191">
        <v>0.89030110500000004</v>
      </c>
      <c r="P191">
        <v>79.595627179999994</v>
      </c>
      <c r="Q191">
        <v>5.0880617340000001</v>
      </c>
      <c r="R191">
        <v>20627237</v>
      </c>
      <c r="S191">
        <v>97697554</v>
      </c>
      <c r="T191">
        <v>10756.47</v>
      </c>
      <c r="U191">
        <v>1400.1</v>
      </c>
      <c r="W191">
        <v>5251863.4740000004</v>
      </c>
      <c r="X191">
        <v>40554930.299999997</v>
      </c>
      <c r="Y191">
        <v>143.55000000000001</v>
      </c>
      <c r="Z191">
        <v>788.67</v>
      </c>
      <c r="AA191">
        <v>222.08</v>
      </c>
      <c r="AB191">
        <v>158.21</v>
      </c>
      <c r="AC191">
        <v>54.34</v>
      </c>
      <c r="AD191">
        <v>1366.85</v>
      </c>
      <c r="AE191">
        <v>3858230</v>
      </c>
      <c r="AF191">
        <v>16209760</v>
      </c>
      <c r="AG191">
        <v>4678250</v>
      </c>
      <c r="AH191">
        <v>1675716</v>
      </c>
      <c r="AI191">
        <v>3055840</v>
      </c>
      <c r="AJ191">
        <v>29477796</v>
      </c>
      <c r="AK191">
        <v>1508</v>
      </c>
      <c r="AL191">
        <v>216</v>
      </c>
      <c r="AM191">
        <v>12</v>
      </c>
      <c r="AN191">
        <v>4871</v>
      </c>
      <c r="AO191">
        <v>200</v>
      </c>
      <c r="AP191">
        <v>6807</v>
      </c>
      <c r="AQ191">
        <v>24132401</v>
      </c>
      <c r="AR191">
        <v>3708315</v>
      </c>
      <c r="AS191">
        <v>210871</v>
      </c>
      <c r="AT191">
        <v>62607322</v>
      </c>
      <c r="AU191">
        <v>3363652</v>
      </c>
      <c r="AV191">
        <v>94022561</v>
      </c>
      <c r="AW191">
        <v>12.19</v>
      </c>
      <c r="AX191">
        <v>9.32</v>
      </c>
      <c r="AY191">
        <v>9.56</v>
      </c>
      <c r="AZ191">
        <v>4.8</v>
      </c>
      <c r="BA191">
        <v>9.7799999999999994</v>
      </c>
      <c r="BB191">
        <v>7.26</v>
      </c>
      <c r="BC191">
        <v>7.79</v>
      </c>
      <c r="BD191">
        <v>7.97</v>
      </c>
      <c r="BE191">
        <v>5.83</v>
      </c>
      <c r="BF191">
        <v>6.27</v>
      </c>
      <c r="BG191">
        <v>0.105</v>
      </c>
      <c r="BH191">
        <v>0.57699999999999996</v>
      </c>
      <c r="BI191">
        <v>0.16250000000000001</v>
      </c>
      <c r="BJ191">
        <v>0.1157</v>
      </c>
      <c r="BK191">
        <v>0.2215</v>
      </c>
      <c r="BL191">
        <v>3.1699999999999999E-2</v>
      </c>
      <c r="BM191">
        <v>1.8E-3</v>
      </c>
      <c r="BN191">
        <v>0.71560000000000001</v>
      </c>
      <c r="BO191">
        <v>-3.39</v>
      </c>
      <c r="BP191">
        <v>-2.87</v>
      </c>
      <c r="BQ191">
        <v>-2.64</v>
      </c>
      <c r="BR191">
        <v>-7.39</v>
      </c>
      <c r="BS191">
        <v>5252829.0669999998</v>
      </c>
      <c r="BT191">
        <v>1492860.64</v>
      </c>
      <c r="BU191">
        <v>16.260000000000002</v>
      </c>
      <c r="BV191">
        <v>1580908.75</v>
      </c>
      <c r="BW191">
        <v>13.72</v>
      </c>
      <c r="BX191">
        <v>34530.963060000002</v>
      </c>
      <c r="BY191">
        <v>5.2164198170000002</v>
      </c>
      <c r="BZ191" s="5">
        <v>678664.97</v>
      </c>
      <c r="CA191" s="5">
        <v>9.52</v>
      </c>
      <c r="CB191" s="5">
        <v>665986.17000000004</v>
      </c>
      <c r="CC191" s="5">
        <v>6.18</v>
      </c>
    </row>
    <row r="192" spans="1:81" x14ac:dyDescent="0.2">
      <c r="A192" s="2">
        <v>44136</v>
      </c>
      <c r="B192">
        <v>2020</v>
      </c>
      <c r="C192">
        <v>11</v>
      </c>
      <c r="E192">
        <v>8.18</v>
      </c>
      <c r="F192">
        <v>20.69</v>
      </c>
      <c r="G192">
        <v>24.72</v>
      </c>
      <c r="I192">
        <v>6.5</v>
      </c>
      <c r="J192">
        <v>4.8385999999999996</v>
      </c>
      <c r="K192">
        <v>1.3072999999999999</v>
      </c>
      <c r="L192">
        <v>1.1826000000000001</v>
      </c>
      <c r="M192">
        <v>104.4061</v>
      </c>
      <c r="N192">
        <v>6.6029</v>
      </c>
      <c r="O192">
        <v>0.90461256000000001</v>
      </c>
      <c r="P192">
        <v>79.863917999999998</v>
      </c>
      <c r="Q192">
        <v>5.0507917080000002</v>
      </c>
      <c r="R192">
        <v>12776981</v>
      </c>
      <c r="S192">
        <v>61822592</v>
      </c>
      <c r="T192">
        <v>8268.9500000000007</v>
      </c>
      <c r="U192">
        <v>2473.4</v>
      </c>
      <c r="W192">
        <v>6699105.5769999996</v>
      </c>
      <c r="X192">
        <v>40948078.100000001</v>
      </c>
      <c r="Y192">
        <v>753.58</v>
      </c>
      <c r="Z192">
        <v>999.77</v>
      </c>
      <c r="AA192">
        <v>232.15</v>
      </c>
      <c r="AB192">
        <v>328.13</v>
      </c>
      <c r="AC192">
        <v>80.790000000000006</v>
      </c>
      <c r="AD192">
        <v>2394.42</v>
      </c>
      <c r="AE192">
        <v>15422827</v>
      </c>
      <c r="AF192">
        <v>22433864</v>
      </c>
      <c r="AG192">
        <v>5551309</v>
      </c>
      <c r="AH192">
        <v>1659171</v>
      </c>
      <c r="AI192">
        <v>7457414</v>
      </c>
      <c r="AJ192">
        <v>52524585</v>
      </c>
      <c r="AK192">
        <v>1482</v>
      </c>
      <c r="AL192">
        <v>148</v>
      </c>
      <c r="AM192">
        <v>6</v>
      </c>
      <c r="AN192">
        <v>3028</v>
      </c>
      <c r="AO192">
        <v>173</v>
      </c>
      <c r="AP192">
        <v>4837</v>
      </c>
      <c r="AQ192">
        <v>23328677</v>
      </c>
      <c r="AR192">
        <v>2481095</v>
      </c>
      <c r="AS192">
        <v>110130</v>
      </c>
      <c r="AT192">
        <v>39766045</v>
      </c>
      <c r="AU192">
        <v>2867753</v>
      </c>
      <c r="AV192">
        <v>68553700</v>
      </c>
      <c r="AW192">
        <v>9.2799999999999994</v>
      </c>
      <c r="AX192">
        <v>10.18</v>
      </c>
      <c r="AY192">
        <v>10.85</v>
      </c>
      <c r="AZ192">
        <v>2.29</v>
      </c>
      <c r="BA192">
        <v>9.9499999999999993</v>
      </c>
      <c r="BB192">
        <v>7.14</v>
      </c>
      <c r="BC192">
        <v>7.6</v>
      </c>
      <c r="BD192">
        <v>8.33</v>
      </c>
      <c r="BE192">
        <v>5.96</v>
      </c>
      <c r="BF192">
        <v>6.43</v>
      </c>
      <c r="BG192">
        <v>0.31469999999999998</v>
      </c>
      <c r="BH192">
        <v>0.41749999999999998</v>
      </c>
      <c r="BI192">
        <v>9.7000000000000003E-2</v>
      </c>
      <c r="BJ192">
        <v>0.13700000000000001</v>
      </c>
      <c r="BK192">
        <v>0.30640000000000001</v>
      </c>
      <c r="BL192">
        <v>3.0599999999999999E-2</v>
      </c>
      <c r="BM192">
        <v>1.1999999999999999E-3</v>
      </c>
      <c r="BN192">
        <v>0.626</v>
      </c>
      <c r="BO192">
        <v>-1.1399999999999999</v>
      </c>
      <c r="BP192">
        <v>0.9</v>
      </c>
      <c r="BQ192">
        <v>1.56</v>
      </c>
      <c r="BR192">
        <v>-6.99</v>
      </c>
      <c r="BS192">
        <v>6700594.5839999998</v>
      </c>
      <c r="BT192">
        <v>118024.33</v>
      </c>
      <c r="BU192">
        <v>3.6</v>
      </c>
      <c r="BV192">
        <v>121778.8</v>
      </c>
      <c r="BW192">
        <v>3.88</v>
      </c>
      <c r="BX192">
        <v>194864.15719999999</v>
      </c>
      <c r="BY192">
        <v>4.938958575</v>
      </c>
      <c r="BZ192" s="5">
        <v>328998.31</v>
      </c>
      <c r="CA192" s="5">
        <v>8.2899999999999991</v>
      </c>
      <c r="CB192" s="5">
        <v>384625.39</v>
      </c>
      <c r="CC192" s="5">
        <v>6.01</v>
      </c>
    </row>
    <row r="193" spans="1:81" x14ac:dyDescent="0.2">
      <c r="A193" s="2">
        <v>44166</v>
      </c>
      <c r="B193">
        <v>2020</v>
      </c>
      <c r="C193">
        <v>12</v>
      </c>
      <c r="E193">
        <v>8</v>
      </c>
      <c r="F193">
        <v>20.8</v>
      </c>
      <c r="G193">
        <v>25.12</v>
      </c>
      <c r="I193">
        <v>7.85</v>
      </c>
      <c r="J193">
        <v>5.0221999999999998</v>
      </c>
      <c r="K193">
        <v>1.2808999999999999</v>
      </c>
      <c r="L193">
        <v>1.2168000000000001</v>
      </c>
      <c r="M193">
        <v>103.79519999999999</v>
      </c>
      <c r="N193">
        <v>6.5392999999999999</v>
      </c>
      <c r="O193">
        <v>0.94995706099999999</v>
      </c>
      <c r="P193">
        <v>81.033023659999998</v>
      </c>
      <c r="Q193">
        <v>5.1052385039999999</v>
      </c>
      <c r="R193">
        <v>5436400</v>
      </c>
      <c r="S193">
        <v>27302669</v>
      </c>
      <c r="T193">
        <v>19961.560000000001</v>
      </c>
      <c r="U193">
        <v>17495.650000000001</v>
      </c>
      <c r="W193">
        <v>31306846.370000001</v>
      </c>
      <c r="X193">
        <v>41345544.600000001</v>
      </c>
      <c r="Y193">
        <v>4014.4</v>
      </c>
      <c r="Z193">
        <v>1554.43</v>
      </c>
      <c r="AA193">
        <v>1321.08</v>
      </c>
      <c r="AB193">
        <v>363.84</v>
      </c>
      <c r="AC193">
        <v>131.01</v>
      </c>
      <c r="AD193">
        <v>7384.76</v>
      </c>
      <c r="AE193">
        <v>82922988</v>
      </c>
      <c r="AF193">
        <v>32615266</v>
      </c>
      <c r="AG193">
        <v>28987786</v>
      </c>
      <c r="AH193">
        <v>1715756</v>
      </c>
      <c r="AI193">
        <v>7922201</v>
      </c>
      <c r="AJ193">
        <v>154163997</v>
      </c>
      <c r="AK193">
        <v>2073</v>
      </c>
      <c r="AL193">
        <v>507</v>
      </c>
      <c r="AM193">
        <v>20</v>
      </c>
      <c r="AN193">
        <v>631</v>
      </c>
      <c r="AO193">
        <v>248</v>
      </c>
      <c r="AP193">
        <v>3479</v>
      </c>
      <c r="AQ193">
        <v>33027780</v>
      </c>
      <c r="AR193">
        <v>8868098</v>
      </c>
      <c r="AS193">
        <v>340129</v>
      </c>
      <c r="AT193">
        <v>8386656</v>
      </c>
      <c r="AU193">
        <v>4219181</v>
      </c>
      <c r="AV193">
        <v>54841844</v>
      </c>
      <c r="AW193">
        <v>9.3699999999999992</v>
      </c>
      <c r="AX193">
        <v>9.52</v>
      </c>
      <c r="AY193">
        <v>9.9499999999999993</v>
      </c>
      <c r="AZ193">
        <v>2.14</v>
      </c>
      <c r="BA193">
        <v>9.4700000000000006</v>
      </c>
      <c r="BB193">
        <v>7.23</v>
      </c>
      <c r="BC193">
        <v>7.93</v>
      </c>
      <c r="BD193">
        <v>7.71</v>
      </c>
      <c r="BE193">
        <v>6.03</v>
      </c>
      <c r="BF193">
        <v>7.15</v>
      </c>
      <c r="BG193">
        <v>0.54359999999999997</v>
      </c>
      <c r="BH193">
        <v>0.21049999999999999</v>
      </c>
      <c r="BI193">
        <v>0.1789</v>
      </c>
      <c r="BJ193">
        <v>4.9299999999999997E-2</v>
      </c>
      <c r="BK193">
        <v>0.59589999999999999</v>
      </c>
      <c r="BL193">
        <v>0.1457</v>
      </c>
      <c r="BM193">
        <v>5.7000000000000002E-3</v>
      </c>
      <c r="BN193">
        <v>0.18140000000000001</v>
      </c>
      <c r="BO193">
        <v>-1.29</v>
      </c>
      <c r="BP193">
        <v>0.15</v>
      </c>
      <c r="BQ193">
        <v>0.57999999999999996</v>
      </c>
      <c r="BR193">
        <v>-7.23</v>
      </c>
      <c r="BS193">
        <v>31307318.59</v>
      </c>
      <c r="BT193">
        <v>1775856.68</v>
      </c>
      <c r="BU193">
        <v>14.33</v>
      </c>
      <c r="BV193">
        <v>415343.79</v>
      </c>
      <c r="BW193">
        <v>12.2</v>
      </c>
      <c r="BX193">
        <v>60891.604399999997</v>
      </c>
      <c r="BY193">
        <v>3.556647951</v>
      </c>
      <c r="BZ193" s="5">
        <v>107825.98</v>
      </c>
      <c r="CA193" s="5">
        <v>7.33</v>
      </c>
      <c r="CB193" s="5">
        <v>65342.86</v>
      </c>
      <c r="CC193" s="5">
        <v>6.3</v>
      </c>
    </row>
    <row r="194" spans="1:81" x14ac:dyDescent="0.2">
      <c r="A194" s="2">
        <v>44197</v>
      </c>
      <c r="B194">
        <v>2021</v>
      </c>
      <c r="C194">
        <v>1</v>
      </c>
      <c r="E194">
        <v>8.11</v>
      </c>
      <c r="F194">
        <v>21</v>
      </c>
      <c r="G194">
        <v>25.47</v>
      </c>
      <c r="I194">
        <v>8.75</v>
      </c>
      <c r="J194">
        <v>5.3057999999999996</v>
      </c>
      <c r="K194">
        <v>1.2725</v>
      </c>
      <c r="L194">
        <v>1.2178</v>
      </c>
      <c r="M194">
        <v>103.78830000000001</v>
      </c>
      <c r="N194">
        <v>6.4672000000000001</v>
      </c>
      <c r="O194">
        <v>0.95701375200000005</v>
      </c>
      <c r="P194">
        <v>81.562514730000004</v>
      </c>
      <c r="Q194">
        <v>5.0822789779999997</v>
      </c>
      <c r="R194">
        <v>3687177</v>
      </c>
      <c r="S194">
        <v>19563509</v>
      </c>
      <c r="T194">
        <v>10455.93</v>
      </c>
      <c r="U194">
        <v>8783.4500000000007</v>
      </c>
      <c r="W194">
        <v>25121605.969999999</v>
      </c>
      <c r="X194">
        <v>41393320.100000001</v>
      </c>
      <c r="Y194">
        <v>1568.88</v>
      </c>
      <c r="Z194">
        <v>1882.02</v>
      </c>
      <c r="AA194">
        <v>223.82</v>
      </c>
      <c r="AB194">
        <v>392.95</v>
      </c>
      <c r="AC194">
        <v>37.619999999999997</v>
      </c>
      <c r="AD194">
        <v>4105.29</v>
      </c>
      <c r="AE194">
        <v>32550241</v>
      </c>
      <c r="AF194">
        <v>38593719</v>
      </c>
      <c r="AG194">
        <v>4997063</v>
      </c>
      <c r="AH194">
        <v>647020</v>
      </c>
      <c r="AI194">
        <v>8238076</v>
      </c>
      <c r="AJ194">
        <v>85026119</v>
      </c>
      <c r="AK194">
        <v>663</v>
      </c>
      <c r="AL194">
        <v>148</v>
      </c>
      <c r="AM194">
        <v>7</v>
      </c>
      <c r="AN194">
        <v>326</v>
      </c>
      <c r="AO194">
        <v>164</v>
      </c>
      <c r="AP194">
        <v>1308</v>
      </c>
      <c r="AQ194">
        <v>9894376</v>
      </c>
      <c r="AR194">
        <v>2539967</v>
      </c>
      <c r="AS194">
        <v>118541</v>
      </c>
      <c r="AT194">
        <v>4436929</v>
      </c>
      <c r="AU194">
        <v>2801094</v>
      </c>
      <c r="AV194">
        <v>19790907</v>
      </c>
      <c r="AW194">
        <v>9.41</v>
      </c>
      <c r="AX194">
        <v>9.3000000000000007</v>
      </c>
      <c r="AY194">
        <v>10.130000000000001</v>
      </c>
      <c r="AZ194">
        <v>0.75</v>
      </c>
      <c r="BA194">
        <v>9.39</v>
      </c>
      <c r="BB194">
        <v>6.77</v>
      </c>
      <c r="BC194">
        <v>7.78</v>
      </c>
      <c r="BD194">
        <v>7.68</v>
      </c>
      <c r="BE194">
        <v>6.17</v>
      </c>
      <c r="BF194">
        <v>6.86</v>
      </c>
      <c r="BG194">
        <v>0.38219999999999998</v>
      </c>
      <c r="BH194">
        <v>0.45839999999999997</v>
      </c>
      <c r="BI194">
        <v>5.45E-2</v>
      </c>
      <c r="BJ194">
        <v>9.5699999999999993E-2</v>
      </c>
      <c r="BK194">
        <v>0.50690000000000002</v>
      </c>
      <c r="BL194">
        <v>0.11310000000000001</v>
      </c>
      <c r="BM194">
        <v>5.4000000000000003E-3</v>
      </c>
      <c r="BN194">
        <v>0.2492</v>
      </c>
      <c r="BO194">
        <v>-1.22</v>
      </c>
      <c r="BP194">
        <v>-0.11</v>
      </c>
      <c r="BQ194">
        <v>0.72</v>
      </c>
      <c r="BR194">
        <v>-8.66</v>
      </c>
      <c r="BS194">
        <v>25122699.039999999</v>
      </c>
      <c r="BT194">
        <v>72606.960000000006</v>
      </c>
      <c r="BU194">
        <v>7.57</v>
      </c>
      <c r="BV194">
        <v>271465.88</v>
      </c>
      <c r="BW194">
        <v>11.17</v>
      </c>
      <c r="BX194">
        <v>34630.170960000003</v>
      </c>
      <c r="BY194">
        <v>5.6929548580000002</v>
      </c>
      <c r="BZ194" s="5">
        <v>88658.97</v>
      </c>
      <c r="CA194" s="5">
        <v>8</v>
      </c>
      <c r="CB194" s="5">
        <v>31446.76</v>
      </c>
      <c r="CC194" s="5">
        <v>6.28</v>
      </c>
    </row>
    <row r="195" spans="1:81" x14ac:dyDescent="0.2">
      <c r="A195" s="2">
        <v>44228</v>
      </c>
      <c r="B195">
        <v>2021</v>
      </c>
      <c r="C195">
        <v>2</v>
      </c>
      <c r="E195">
        <v>10.08</v>
      </c>
      <c r="F195">
        <v>21.19</v>
      </c>
      <c r="G195">
        <v>26.47</v>
      </c>
      <c r="J195">
        <v>7.5129000000000001</v>
      </c>
      <c r="K195">
        <v>1.2696000000000001</v>
      </c>
      <c r="L195">
        <v>1.2094</v>
      </c>
      <c r="M195">
        <v>105.37739999999999</v>
      </c>
      <c r="N195">
        <v>6.4600999999999997</v>
      </c>
      <c r="O195">
        <v>0.95258349099999995</v>
      </c>
      <c r="P195">
        <v>83.000472590000001</v>
      </c>
      <c r="Q195">
        <v>5.0882955259999996</v>
      </c>
      <c r="R195">
        <v>1161065</v>
      </c>
      <c r="S195">
        <v>8722982</v>
      </c>
      <c r="T195">
        <v>652.79999999999995</v>
      </c>
      <c r="U195">
        <v>126.15</v>
      </c>
      <c r="W195">
        <v>18155377.670000002</v>
      </c>
      <c r="X195">
        <v>41441172.5</v>
      </c>
      <c r="Y195">
        <v>1720.57</v>
      </c>
      <c r="Z195">
        <v>2413.67</v>
      </c>
      <c r="AA195">
        <v>406.8</v>
      </c>
      <c r="AB195">
        <v>308.58999999999997</v>
      </c>
      <c r="AC195">
        <v>61.96</v>
      </c>
      <c r="AD195">
        <v>4911.59</v>
      </c>
      <c r="AE195">
        <v>41161123</v>
      </c>
      <c r="AF195">
        <v>55976145</v>
      </c>
      <c r="AG195">
        <v>9040351</v>
      </c>
      <c r="AH195">
        <v>893717</v>
      </c>
      <c r="AI195">
        <v>6743407</v>
      </c>
      <c r="AJ195">
        <v>113814743</v>
      </c>
      <c r="AK195">
        <v>725</v>
      </c>
      <c r="AL195">
        <v>136</v>
      </c>
      <c r="AM195">
        <v>3</v>
      </c>
      <c r="AN195">
        <v>14</v>
      </c>
      <c r="AO195">
        <v>145</v>
      </c>
      <c r="AP195">
        <v>1023</v>
      </c>
      <c r="AQ195">
        <v>12176477</v>
      </c>
      <c r="AR195">
        <v>2485848</v>
      </c>
      <c r="AS195">
        <v>59608</v>
      </c>
      <c r="AT195">
        <v>192931</v>
      </c>
      <c r="AU195">
        <v>2462071</v>
      </c>
      <c r="AV195">
        <v>17376935</v>
      </c>
      <c r="AW195">
        <v>10.85</v>
      </c>
      <c r="AX195">
        <v>10.52</v>
      </c>
      <c r="AY195">
        <v>10.08</v>
      </c>
      <c r="AZ195">
        <v>1.31</v>
      </c>
      <c r="BA195">
        <v>10.51</v>
      </c>
      <c r="BB195">
        <v>7.62</v>
      </c>
      <c r="BC195">
        <v>8.2899999999999991</v>
      </c>
      <c r="BD195">
        <v>9.01</v>
      </c>
      <c r="BE195">
        <v>6.25</v>
      </c>
      <c r="BF195">
        <v>7.7</v>
      </c>
      <c r="BG195">
        <v>0.3503</v>
      </c>
      <c r="BH195">
        <v>0.4914</v>
      </c>
      <c r="BI195">
        <v>8.2799999999999999E-2</v>
      </c>
      <c r="BJ195">
        <v>6.2799999999999995E-2</v>
      </c>
      <c r="BK195">
        <v>0.7087</v>
      </c>
      <c r="BL195">
        <v>0.13289999999999999</v>
      </c>
      <c r="BM195">
        <v>2.8999999999999998E-3</v>
      </c>
      <c r="BN195">
        <v>1.37E-2</v>
      </c>
      <c r="BO195">
        <v>-2.2999999999999998</v>
      </c>
      <c r="BP195">
        <v>-0.33</v>
      </c>
      <c r="BQ195">
        <v>-0.77</v>
      </c>
      <c r="BR195">
        <v>-9.5399999999999991</v>
      </c>
      <c r="BS195">
        <v>18155180.329999998</v>
      </c>
      <c r="BT195">
        <v>571133.27</v>
      </c>
      <c r="BU195">
        <v>16.16</v>
      </c>
      <c r="BV195">
        <v>342207.73</v>
      </c>
      <c r="BW195">
        <v>12.63</v>
      </c>
      <c r="BZ195" s="5">
        <v>19475.650000000001</v>
      </c>
      <c r="CA195" s="5">
        <v>14.11</v>
      </c>
      <c r="CB195" s="5">
        <v>14810.67</v>
      </c>
      <c r="CC195" s="5">
        <v>6.45</v>
      </c>
    </row>
    <row r="196" spans="1:81" x14ac:dyDescent="0.2">
      <c r="A196" s="2">
        <v>44256</v>
      </c>
      <c r="B196">
        <v>2021</v>
      </c>
      <c r="C196">
        <v>3</v>
      </c>
      <c r="E196">
        <v>11.59</v>
      </c>
      <c r="F196">
        <v>21.78</v>
      </c>
      <c r="G196">
        <v>28.69</v>
      </c>
      <c r="I196">
        <v>13.9</v>
      </c>
      <c r="J196">
        <v>9.5668000000000006</v>
      </c>
      <c r="K196">
        <v>1.2568999999999999</v>
      </c>
      <c r="L196">
        <v>1.1901999999999999</v>
      </c>
      <c r="M196">
        <v>108.6991</v>
      </c>
      <c r="N196">
        <v>6.5109000000000004</v>
      </c>
      <c r="O196">
        <v>0.94693293000000001</v>
      </c>
      <c r="P196">
        <v>86.481899909999996</v>
      </c>
      <c r="Q196">
        <v>5.1801257060000001</v>
      </c>
      <c r="R196">
        <v>1096759</v>
      </c>
      <c r="S196">
        <v>10492443</v>
      </c>
      <c r="T196">
        <v>623.63</v>
      </c>
      <c r="U196">
        <v>126.15</v>
      </c>
      <c r="W196">
        <v>9583982.5850000009</v>
      </c>
      <c r="X196">
        <v>41489102.100000001</v>
      </c>
      <c r="Y196">
        <v>1069.99</v>
      </c>
      <c r="Z196">
        <v>1682.18</v>
      </c>
      <c r="AA196">
        <v>311.72000000000003</v>
      </c>
      <c r="AB196">
        <v>330.83</v>
      </c>
      <c r="AC196">
        <v>76.83</v>
      </c>
      <c r="AD196">
        <v>3471.55</v>
      </c>
      <c r="AE196">
        <v>29780722</v>
      </c>
      <c r="AF196">
        <v>43166911</v>
      </c>
      <c r="AG196">
        <v>7210255</v>
      </c>
      <c r="AH196">
        <v>1541463</v>
      </c>
      <c r="AI196">
        <v>7637767</v>
      </c>
      <c r="AJ196">
        <v>89337118</v>
      </c>
      <c r="AK196">
        <v>320</v>
      </c>
      <c r="AL196">
        <v>113</v>
      </c>
      <c r="AM196">
        <v>7</v>
      </c>
      <c r="AN196">
        <v>14</v>
      </c>
      <c r="AO196">
        <v>174</v>
      </c>
      <c r="AP196">
        <v>628</v>
      </c>
      <c r="AQ196">
        <v>5614245</v>
      </c>
      <c r="AR196">
        <v>2578692</v>
      </c>
      <c r="AS196">
        <v>121909</v>
      </c>
      <c r="AT196">
        <v>197354</v>
      </c>
      <c r="AU196">
        <v>2932099</v>
      </c>
      <c r="AV196">
        <v>11444299</v>
      </c>
      <c r="AW196">
        <v>12.62</v>
      </c>
      <c r="AX196">
        <v>11.64</v>
      </c>
      <c r="AY196">
        <v>10.49</v>
      </c>
      <c r="AZ196">
        <v>2.11</v>
      </c>
      <c r="BA196">
        <v>11.67</v>
      </c>
      <c r="BB196">
        <v>7.96</v>
      </c>
      <c r="BC196">
        <v>10.35</v>
      </c>
      <c r="BD196">
        <v>7.9</v>
      </c>
      <c r="BE196">
        <v>6.39</v>
      </c>
      <c r="BF196">
        <v>8.27</v>
      </c>
      <c r="BG196">
        <v>0.30819999999999997</v>
      </c>
      <c r="BH196">
        <v>0.48459999999999998</v>
      </c>
      <c r="BI196">
        <v>8.9800000000000005E-2</v>
      </c>
      <c r="BJ196">
        <v>9.5299999999999996E-2</v>
      </c>
      <c r="BK196">
        <v>0.50960000000000005</v>
      </c>
      <c r="BL196">
        <v>0.1799</v>
      </c>
      <c r="BM196">
        <v>1.11E-2</v>
      </c>
      <c r="BN196">
        <v>2.23E-2</v>
      </c>
      <c r="BO196">
        <v>-3.65</v>
      </c>
      <c r="BP196">
        <v>-0.98</v>
      </c>
      <c r="BQ196">
        <v>-2.13</v>
      </c>
      <c r="BR196">
        <v>-10.51</v>
      </c>
      <c r="BS196">
        <v>9582006.9140000008</v>
      </c>
      <c r="BT196">
        <v>698009.15</v>
      </c>
      <c r="BU196">
        <v>14.31</v>
      </c>
      <c r="BV196">
        <v>2236959.5699999998</v>
      </c>
      <c r="BW196">
        <v>11.65</v>
      </c>
      <c r="BX196">
        <v>69061.926120000004</v>
      </c>
      <c r="BY196">
        <v>5.6468740720000001</v>
      </c>
      <c r="BZ196" s="5">
        <v>203575.02</v>
      </c>
      <c r="CA196" s="5">
        <v>5.5</v>
      </c>
      <c r="CB196" s="5">
        <v>0</v>
      </c>
      <c r="CC196" s="5">
        <v>0</v>
      </c>
    </row>
    <row r="197" spans="1:81" x14ac:dyDescent="0.2">
      <c r="A197" s="2">
        <v>44287</v>
      </c>
      <c r="B197">
        <v>2021</v>
      </c>
      <c r="C197">
        <v>4</v>
      </c>
      <c r="E197">
        <v>11.22</v>
      </c>
      <c r="F197">
        <v>23.11</v>
      </c>
      <c r="G197">
        <v>30.67</v>
      </c>
      <c r="I197">
        <v>10.5</v>
      </c>
      <c r="J197">
        <v>9.6112000000000002</v>
      </c>
      <c r="K197">
        <v>1.2494000000000001</v>
      </c>
      <c r="L197">
        <v>1.1964999999999999</v>
      </c>
      <c r="M197">
        <v>109.0445</v>
      </c>
      <c r="N197">
        <v>6.5186000000000002</v>
      </c>
      <c r="O197">
        <v>0.95765967699999999</v>
      </c>
      <c r="P197">
        <v>87.277493199999995</v>
      </c>
      <c r="Q197">
        <v>5.2173843440000001</v>
      </c>
      <c r="R197">
        <v>1279616</v>
      </c>
      <c r="S197">
        <v>12298683</v>
      </c>
      <c r="T197">
        <v>1515.06</v>
      </c>
      <c r="U197">
        <v>934.64</v>
      </c>
      <c r="W197">
        <v>4103866.3689999999</v>
      </c>
      <c r="X197">
        <v>41537109</v>
      </c>
      <c r="Y197">
        <v>1441.34</v>
      </c>
      <c r="Z197">
        <v>1924.22</v>
      </c>
      <c r="AA197">
        <v>184.5</v>
      </c>
      <c r="AB197">
        <v>288.36</v>
      </c>
      <c r="AC197">
        <v>52.06</v>
      </c>
      <c r="AD197">
        <v>3890.48</v>
      </c>
      <c r="AE197">
        <v>38920049</v>
      </c>
      <c r="AF197">
        <v>48955688</v>
      </c>
      <c r="AG197">
        <v>3704386</v>
      </c>
      <c r="AH197">
        <v>1044593</v>
      </c>
      <c r="AI197">
        <v>5787748</v>
      </c>
      <c r="AJ197">
        <v>98412464</v>
      </c>
      <c r="AK197">
        <v>459</v>
      </c>
      <c r="AL197">
        <v>82</v>
      </c>
      <c r="AM197">
        <v>8</v>
      </c>
      <c r="AN197">
        <v>2</v>
      </c>
      <c r="AO197">
        <v>144</v>
      </c>
      <c r="AP197">
        <v>695</v>
      </c>
      <c r="AQ197">
        <v>8303259</v>
      </c>
      <c r="AR197">
        <v>1829123</v>
      </c>
      <c r="AS197">
        <v>103004</v>
      </c>
      <c r="AT197">
        <v>22928</v>
      </c>
      <c r="AU197">
        <v>2422355</v>
      </c>
      <c r="AV197">
        <v>12680669</v>
      </c>
      <c r="AW197">
        <v>12.25</v>
      </c>
      <c r="AX197">
        <v>11.54</v>
      </c>
      <c r="AY197">
        <v>9.11</v>
      </c>
      <c r="AZ197">
        <v>1.64</v>
      </c>
      <c r="BA197">
        <v>11.47</v>
      </c>
      <c r="BB197">
        <v>8.2100000000000009</v>
      </c>
      <c r="BC197">
        <v>10.119999999999999</v>
      </c>
      <c r="BD197">
        <v>5.84</v>
      </c>
      <c r="BE197">
        <v>5.2</v>
      </c>
      <c r="BF197">
        <v>8.2799999999999994</v>
      </c>
      <c r="BG197">
        <v>0.3705</v>
      </c>
      <c r="BH197">
        <v>0.49459999999999998</v>
      </c>
      <c r="BI197">
        <v>4.7399999999999998E-2</v>
      </c>
      <c r="BJ197">
        <v>7.4099999999999999E-2</v>
      </c>
      <c r="BK197">
        <v>0.66039999999999999</v>
      </c>
      <c r="BL197">
        <v>0.11799999999999999</v>
      </c>
      <c r="BM197">
        <v>1.15E-2</v>
      </c>
      <c r="BN197">
        <v>2.8999999999999998E-3</v>
      </c>
      <c r="BO197">
        <v>-4.5999999999999996</v>
      </c>
      <c r="BP197">
        <v>-0.71</v>
      </c>
      <c r="BQ197">
        <v>-3.14</v>
      </c>
      <c r="BR197">
        <v>-10.61</v>
      </c>
      <c r="BS197">
        <v>4104261.9610000001</v>
      </c>
      <c r="BT197">
        <v>54268.93</v>
      </c>
      <c r="BU197">
        <v>3.87</v>
      </c>
      <c r="BV197">
        <v>19610.09</v>
      </c>
      <c r="BW197">
        <v>9.2899999999999991</v>
      </c>
      <c r="BZ197" s="5">
        <v>49061.71</v>
      </c>
      <c r="CA197" s="5">
        <v>6.95</v>
      </c>
      <c r="CB197" s="5">
        <v>0</v>
      </c>
      <c r="CC197" s="5">
        <v>0</v>
      </c>
    </row>
    <row r="198" spans="1:81" x14ac:dyDescent="0.2">
      <c r="A198" s="2">
        <v>44317</v>
      </c>
      <c r="B198">
        <v>2021</v>
      </c>
      <c r="C198">
        <v>5</v>
      </c>
      <c r="E198">
        <v>8.67</v>
      </c>
      <c r="F198">
        <v>23.25</v>
      </c>
      <c r="G198">
        <v>34.83</v>
      </c>
      <c r="H198">
        <v>8</v>
      </c>
      <c r="I198">
        <v>8.3800000000000008</v>
      </c>
      <c r="J198">
        <v>7.0374999999999996</v>
      </c>
      <c r="K198">
        <v>1.2124999999999999</v>
      </c>
      <c r="L198">
        <v>1.2145999999999999</v>
      </c>
      <c r="M198">
        <v>109.11199999999999</v>
      </c>
      <c r="N198">
        <v>6.4321000000000002</v>
      </c>
      <c r="O198">
        <v>1.001731959</v>
      </c>
      <c r="P198">
        <v>89.989278350000006</v>
      </c>
      <c r="Q198">
        <v>5.3048247420000001</v>
      </c>
      <c r="R198">
        <v>2215979</v>
      </c>
      <c r="S198">
        <v>15595031</v>
      </c>
      <c r="T198">
        <v>40324.800000000003</v>
      </c>
      <c r="U198">
        <v>39319.65</v>
      </c>
      <c r="W198">
        <v>7156811.784</v>
      </c>
      <c r="X198">
        <v>41585193.399999999</v>
      </c>
      <c r="Y198">
        <v>4269.7299999999996</v>
      </c>
      <c r="Z198">
        <v>1930.65</v>
      </c>
      <c r="AA198">
        <v>501.96</v>
      </c>
      <c r="AB198">
        <v>319.8</v>
      </c>
      <c r="AC198">
        <v>36.659999999999997</v>
      </c>
      <c r="AD198">
        <v>7058.8</v>
      </c>
      <c r="AE198">
        <v>91504003</v>
      </c>
      <c r="AF198">
        <v>42087146</v>
      </c>
      <c r="AG198">
        <v>10551892</v>
      </c>
      <c r="AH198">
        <v>769407</v>
      </c>
      <c r="AI198">
        <v>6337308</v>
      </c>
      <c r="AJ198">
        <v>151249756</v>
      </c>
      <c r="AK198">
        <v>533</v>
      </c>
      <c r="AL198">
        <v>217</v>
      </c>
      <c r="AM198">
        <v>3</v>
      </c>
      <c r="AN198">
        <v>92</v>
      </c>
      <c r="AO198">
        <v>151</v>
      </c>
      <c r="AP198">
        <v>996</v>
      </c>
      <c r="AQ198">
        <v>9167150</v>
      </c>
      <c r="AR198">
        <v>4449368</v>
      </c>
      <c r="AS198">
        <v>56764</v>
      </c>
      <c r="AT198">
        <v>1527491</v>
      </c>
      <c r="AU198">
        <v>2614928</v>
      </c>
      <c r="AV198">
        <v>17815701</v>
      </c>
      <c r="AW198">
        <v>9.7200000000000006</v>
      </c>
      <c r="AX198">
        <v>9.89</v>
      </c>
      <c r="AY198">
        <v>9.5399999999999991</v>
      </c>
      <c r="AZ198">
        <v>1.0900000000000001</v>
      </c>
      <c r="BA198">
        <v>9.7200000000000006</v>
      </c>
      <c r="BB198">
        <v>7.8</v>
      </c>
      <c r="BC198">
        <v>9.3000000000000007</v>
      </c>
      <c r="BD198">
        <v>8.58</v>
      </c>
      <c r="BE198">
        <v>7.53</v>
      </c>
      <c r="BF198">
        <v>8.11</v>
      </c>
      <c r="BG198">
        <v>0.60489999999999999</v>
      </c>
      <c r="BH198">
        <v>0.27350000000000002</v>
      </c>
      <c r="BI198">
        <v>7.1099999999999997E-2</v>
      </c>
      <c r="BJ198">
        <v>4.53E-2</v>
      </c>
      <c r="BK198">
        <v>0.53510000000000002</v>
      </c>
      <c r="BL198">
        <v>0.21790000000000001</v>
      </c>
      <c r="BM198">
        <v>3.0000000000000001E-3</v>
      </c>
      <c r="BN198">
        <v>9.2399999999999996E-2</v>
      </c>
      <c r="BO198">
        <v>-0.49</v>
      </c>
      <c r="BP198">
        <v>0.17</v>
      </c>
      <c r="BQ198">
        <v>-0.19</v>
      </c>
      <c r="BR198">
        <v>-8.6300000000000008</v>
      </c>
      <c r="BS198">
        <v>7155294.915</v>
      </c>
      <c r="BT198">
        <v>20593.36</v>
      </c>
      <c r="BU198">
        <v>23.45</v>
      </c>
      <c r="BV198">
        <v>85742.080000000002</v>
      </c>
      <c r="BW198">
        <v>8.6199999999999992</v>
      </c>
      <c r="BX198">
        <v>36012.467700000001</v>
      </c>
      <c r="BY198">
        <v>6.0047537369999997</v>
      </c>
      <c r="BZ198" s="5">
        <v>300441.81</v>
      </c>
      <c r="CA198" s="5">
        <v>7.7</v>
      </c>
      <c r="CB198" s="5">
        <v>197152.95</v>
      </c>
      <c r="CC198" s="5">
        <v>8.64</v>
      </c>
    </row>
    <row r="199" spans="1:81" x14ac:dyDescent="0.2">
      <c r="A199" s="2">
        <v>44348</v>
      </c>
      <c r="B199">
        <v>2021</v>
      </c>
      <c r="C199">
        <v>6</v>
      </c>
      <c r="E199">
        <v>8.5500000000000007</v>
      </c>
      <c r="F199">
        <v>23.86</v>
      </c>
      <c r="G199">
        <v>37.28</v>
      </c>
      <c r="H199">
        <v>7.83</v>
      </c>
      <c r="I199">
        <v>8.9</v>
      </c>
      <c r="J199">
        <v>6.3247999999999998</v>
      </c>
      <c r="K199">
        <v>1.222</v>
      </c>
      <c r="L199">
        <v>1.2048000000000001</v>
      </c>
      <c r="M199">
        <v>110.1073</v>
      </c>
      <c r="N199">
        <v>6.4249999999999998</v>
      </c>
      <c r="O199">
        <v>0.98592471400000004</v>
      </c>
      <c r="P199">
        <v>90.104173489999994</v>
      </c>
      <c r="Q199">
        <v>5.2577741409999996</v>
      </c>
      <c r="R199">
        <v>5946857</v>
      </c>
      <c r="S199">
        <v>37612882</v>
      </c>
      <c r="T199">
        <v>28797.25</v>
      </c>
      <c r="U199">
        <v>26099.8</v>
      </c>
      <c r="W199">
        <v>31316610.079999998</v>
      </c>
      <c r="X199">
        <v>41633355.600000001</v>
      </c>
      <c r="Y199">
        <v>3965.45</v>
      </c>
      <c r="Z199">
        <v>2242.42</v>
      </c>
      <c r="AA199">
        <v>752.8</v>
      </c>
      <c r="AB199">
        <v>396.29</v>
      </c>
      <c r="AC199">
        <v>58.47</v>
      </c>
      <c r="AD199">
        <v>7415.43</v>
      </c>
      <c r="AE199">
        <v>88091831</v>
      </c>
      <c r="AF199">
        <v>46909336</v>
      </c>
      <c r="AG199">
        <v>15258458</v>
      </c>
      <c r="AH199">
        <v>1062141</v>
      </c>
      <c r="AI199">
        <v>7892935</v>
      </c>
      <c r="AJ199">
        <v>159214701</v>
      </c>
      <c r="AK199">
        <v>615</v>
      </c>
      <c r="AL199">
        <v>297</v>
      </c>
      <c r="AM199">
        <v>5</v>
      </c>
      <c r="AN199">
        <v>500</v>
      </c>
      <c r="AO199">
        <v>123</v>
      </c>
      <c r="AP199">
        <v>1540</v>
      </c>
      <c r="AQ199">
        <v>10333268</v>
      </c>
      <c r="AR199">
        <v>6289887</v>
      </c>
      <c r="AS199">
        <v>77504</v>
      </c>
      <c r="AT199">
        <v>8243860</v>
      </c>
      <c r="AU199">
        <v>2135342</v>
      </c>
      <c r="AV199">
        <v>27079861</v>
      </c>
      <c r="AW199">
        <v>10.08</v>
      </c>
      <c r="AX199">
        <v>9.49</v>
      </c>
      <c r="AY199">
        <v>9.19</v>
      </c>
      <c r="AZ199">
        <v>1.22</v>
      </c>
      <c r="BA199">
        <v>9.74</v>
      </c>
      <c r="BB199">
        <v>7.62</v>
      </c>
      <c r="BC199">
        <v>9.61</v>
      </c>
      <c r="BD199">
        <v>7.03</v>
      </c>
      <c r="BE199">
        <v>7.48</v>
      </c>
      <c r="BF199">
        <v>7.98</v>
      </c>
      <c r="BG199">
        <v>0.53480000000000005</v>
      </c>
      <c r="BH199">
        <v>0.3024</v>
      </c>
      <c r="BI199">
        <v>0.10150000000000001</v>
      </c>
      <c r="BJ199">
        <v>5.3400000000000003E-2</v>
      </c>
      <c r="BK199">
        <v>0.39939999999999998</v>
      </c>
      <c r="BL199">
        <v>0.19289999999999999</v>
      </c>
      <c r="BM199">
        <v>3.2000000000000002E-3</v>
      </c>
      <c r="BN199">
        <v>0.32469999999999999</v>
      </c>
      <c r="BO199">
        <v>-0.77</v>
      </c>
      <c r="BP199">
        <v>-0.59</v>
      </c>
      <c r="BQ199">
        <v>-0.88</v>
      </c>
      <c r="BR199">
        <v>-8.86</v>
      </c>
      <c r="BS199">
        <v>31315132.190000001</v>
      </c>
      <c r="BT199">
        <v>300577.89</v>
      </c>
      <c r="BU199">
        <v>15.59</v>
      </c>
      <c r="BV199">
        <v>6567688.6399999997</v>
      </c>
      <c r="BW199">
        <v>11.89</v>
      </c>
      <c r="BX199">
        <v>487545.09909999999</v>
      </c>
      <c r="BY199">
        <v>8.4876209550000006</v>
      </c>
      <c r="BZ199" s="5">
        <v>2252846.17</v>
      </c>
      <c r="CA199" s="5">
        <v>9.57</v>
      </c>
      <c r="CB199" s="5">
        <v>1315896.22</v>
      </c>
      <c r="CC199" s="5">
        <v>8.94</v>
      </c>
    </row>
    <row r="200" spans="1:81" x14ac:dyDescent="0.2">
      <c r="A200" s="2">
        <v>44378</v>
      </c>
      <c r="B200">
        <v>2021</v>
      </c>
      <c r="C200">
        <v>7</v>
      </c>
      <c r="E200">
        <v>10.26</v>
      </c>
      <c r="F200">
        <v>24.39</v>
      </c>
      <c r="G200">
        <v>39.17</v>
      </c>
      <c r="J200">
        <v>6.6593</v>
      </c>
      <c r="K200">
        <v>1.2529999999999999</v>
      </c>
      <c r="L200">
        <v>1.1820999999999999</v>
      </c>
      <c r="M200">
        <v>110.21429999999999</v>
      </c>
      <c r="N200">
        <v>6.4763000000000002</v>
      </c>
      <c r="O200">
        <v>0.94341580199999997</v>
      </c>
      <c r="P200">
        <v>87.960335200000003</v>
      </c>
      <c r="Q200">
        <v>5.1686352749999998</v>
      </c>
      <c r="R200">
        <v>20015469</v>
      </c>
      <c r="S200">
        <v>133289581</v>
      </c>
      <c r="T200">
        <v>12259.92</v>
      </c>
      <c r="U200">
        <v>3181.05</v>
      </c>
      <c r="W200">
        <v>34895831.840000004</v>
      </c>
      <c r="X200">
        <v>41681595.600000001</v>
      </c>
      <c r="Y200">
        <v>1090.83</v>
      </c>
      <c r="Z200">
        <v>1777.2</v>
      </c>
      <c r="AA200">
        <v>609.63</v>
      </c>
      <c r="AB200">
        <v>190.67</v>
      </c>
      <c r="AC200">
        <v>69.209999999999994</v>
      </c>
      <c r="AD200">
        <v>3737.54</v>
      </c>
      <c r="AE200">
        <v>28620535</v>
      </c>
      <c r="AF200">
        <v>38966891</v>
      </c>
      <c r="AG200">
        <v>13096887</v>
      </c>
      <c r="AH200">
        <v>1234791</v>
      </c>
      <c r="AI200">
        <v>3936525</v>
      </c>
      <c r="AJ200">
        <v>85855629</v>
      </c>
      <c r="AK200">
        <v>617</v>
      </c>
      <c r="AL200">
        <v>359</v>
      </c>
      <c r="AM200">
        <v>4</v>
      </c>
      <c r="AN200">
        <v>5204</v>
      </c>
      <c r="AO200">
        <v>115</v>
      </c>
      <c r="AP200">
        <v>6299</v>
      </c>
      <c r="AQ200">
        <v>10525849</v>
      </c>
      <c r="AR200">
        <v>7963413</v>
      </c>
      <c r="AS200">
        <v>64288</v>
      </c>
      <c r="AT200">
        <v>88942795</v>
      </c>
      <c r="AU200">
        <v>1935592</v>
      </c>
      <c r="AV200">
        <v>109431937</v>
      </c>
      <c r="AW200">
        <v>11.9</v>
      </c>
      <c r="AX200">
        <v>9.9499999999999993</v>
      </c>
      <c r="AY200">
        <v>9.74</v>
      </c>
      <c r="AZ200">
        <v>2.94</v>
      </c>
      <c r="BA200">
        <v>10.42</v>
      </c>
      <c r="BB200">
        <v>7.74</v>
      </c>
      <c r="BC200">
        <v>10.06</v>
      </c>
      <c r="BD200">
        <v>7.29</v>
      </c>
      <c r="BE200">
        <v>7.75</v>
      </c>
      <c r="BF200">
        <v>7.88</v>
      </c>
      <c r="BG200">
        <v>0.29189999999999999</v>
      </c>
      <c r="BH200">
        <v>0.47549999999999998</v>
      </c>
      <c r="BI200">
        <v>0.16309999999999999</v>
      </c>
      <c r="BJ200">
        <v>5.0999999999999997E-2</v>
      </c>
      <c r="BK200">
        <v>9.8000000000000004E-2</v>
      </c>
      <c r="BL200">
        <v>5.7000000000000002E-2</v>
      </c>
      <c r="BM200">
        <v>5.9999999999999995E-4</v>
      </c>
      <c r="BN200">
        <v>0.82620000000000005</v>
      </c>
      <c r="BO200">
        <v>-1.75</v>
      </c>
      <c r="BP200">
        <v>-1.95</v>
      </c>
      <c r="BQ200">
        <v>-2.16</v>
      </c>
      <c r="BR200">
        <v>-8.9600000000000009</v>
      </c>
      <c r="BS200">
        <v>34897058.829999998</v>
      </c>
      <c r="BT200">
        <v>337198.83</v>
      </c>
      <c r="BU200">
        <v>15.43</v>
      </c>
      <c r="BV200">
        <v>3250555.66</v>
      </c>
      <c r="BW200">
        <v>12.38</v>
      </c>
      <c r="BX200">
        <v>177022.16750000001</v>
      </c>
      <c r="BY200">
        <v>8.9721927049999994</v>
      </c>
      <c r="BZ200" s="5">
        <v>2594465.9500000002</v>
      </c>
      <c r="CA200" s="5">
        <v>8.66</v>
      </c>
      <c r="CB200" s="5">
        <v>578354.56000000006</v>
      </c>
      <c r="CC200" s="5">
        <v>8.68</v>
      </c>
    </row>
    <row r="201" spans="1:81" x14ac:dyDescent="0.2">
      <c r="A201" s="2">
        <v>44409</v>
      </c>
      <c r="B201">
        <v>2021</v>
      </c>
      <c r="C201">
        <v>8</v>
      </c>
      <c r="E201">
        <v>11.17</v>
      </c>
      <c r="F201">
        <v>24.5</v>
      </c>
      <c r="G201">
        <v>39.25</v>
      </c>
      <c r="J201">
        <v>7.1444000000000001</v>
      </c>
      <c r="K201">
        <v>1.2599</v>
      </c>
      <c r="L201">
        <v>1.1767000000000001</v>
      </c>
      <c r="M201">
        <v>109.8527</v>
      </c>
      <c r="N201">
        <v>6.4767999999999999</v>
      </c>
      <c r="O201">
        <v>0.93396301299999995</v>
      </c>
      <c r="P201">
        <v>87.191602509999996</v>
      </c>
      <c r="Q201">
        <v>5.140725454</v>
      </c>
      <c r="R201">
        <v>17104641</v>
      </c>
      <c r="S201">
        <v>122201608</v>
      </c>
      <c r="T201">
        <v>8880.24</v>
      </c>
      <c r="U201">
        <v>1121.7</v>
      </c>
      <c r="W201">
        <v>23631650.07</v>
      </c>
      <c r="X201">
        <v>41729913.600000001</v>
      </c>
      <c r="Y201">
        <v>994.46</v>
      </c>
      <c r="Z201">
        <v>1559.8</v>
      </c>
      <c r="AA201">
        <v>642.47</v>
      </c>
      <c r="AB201">
        <v>289.11</v>
      </c>
      <c r="AC201">
        <v>51.23</v>
      </c>
      <c r="AD201">
        <v>3537.07</v>
      </c>
      <c r="AE201">
        <v>24923122</v>
      </c>
      <c r="AF201">
        <v>37093492</v>
      </c>
      <c r="AG201">
        <v>13504061</v>
      </c>
      <c r="AH201">
        <v>895439</v>
      </c>
      <c r="AI201">
        <v>5926380</v>
      </c>
      <c r="AJ201">
        <v>82342494</v>
      </c>
      <c r="AK201">
        <v>618</v>
      </c>
      <c r="AL201">
        <v>375</v>
      </c>
      <c r="AM201">
        <v>8</v>
      </c>
      <c r="AN201">
        <v>4193</v>
      </c>
      <c r="AO201">
        <v>158</v>
      </c>
      <c r="AP201">
        <v>5352</v>
      </c>
      <c r="AQ201">
        <v>10061080</v>
      </c>
      <c r="AR201">
        <v>8692020</v>
      </c>
      <c r="AS201">
        <v>110594</v>
      </c>
      <c r="AT201">
        <v>75153973</v>
      </c>
      <c r="AU201">
        <v>2723850</v>
      </c>
      <c r="AV201">
        <v>96741517</v>
      </c>
      <c r="AW201">
        <v>11.37</v>
      </c>
      <c r="AX201">
        <v>10.79</v>
      </c>
      <c r="AY201">
        <v>9.5299999999999994</v>
      </c>
      <c r="AZ201">
        <v>1.4</v>
      </c>
      <c r="BA201">
        <v>10.56</v>
      </c>
      <c r="BB201">
        <v>7.38</v>
      </c>
      <c r="BC201">
        <v>10.51</v>
      </c>
      <c r="BD201">
        <v>6.27</v>
      </c>
      <c r="BE201">
        <v>8.1300000000000008</v>
      </c>
      <c r="BF201">
        <v>8.1999999999999993</v>
      </c>
      <c r="BG201">
        <v>0.28120000000000001</v>
      </c>
      <c r="BH201">
        <v>0.441</v>
      </c>
      <c r="BI201">
        <v>0.18160000000000001</v>
      </c>
      <c r="BJ201">
        <v>8.1699999999999995E-2</v>
      </c>
      <c r="BK201">
        <v>0.11550000000000001</v>
      </c>
      <c r="BL201">
        <v>7.0099999999999996E-2</v>
      </c>
      <c r="BM201">
        <v>1.5E-3</v>
      </c>
      <c r="BN201">
        <v>0.78339999999999999</v>
      </c>
      <c r="BO201">
        <v>-0.89</v>
      </c>
      <c r="BP201">
        <v>-0.57999999999999996</v>
      </c>
      <c r="BQ201">
        <v>-1.83</v>
      </c>
      <c r="BR201">
        <v>-9.9600000000000009</v>
      </c>
      <c r="BS201">
        <v>23631915.84</v>
      </c>
      <c r="BT201">
        <v>16027.59</v>
      </c>
      <c r="BU201">
        <v>2.08</v>
      </c>
      <c r="BV201">
        <v>60027.39</v>
      </c>
      <c r="BW201">
        <v>6.25</v>
      </c>
      <c r="BX201">
        <v>165910.88269999999</v>
      </c>
      <c r="BY201">
        <v>7.1598437700000002</v>
      </c>
      <c r="BZ201" s="5">
        <v>697353.57</v>
      </c>
      <c r="CA201" s="5">
        <v>8.58</v>
      </c>
      <c r="CB201" s="5">
        <v>157293.34</v>
      </c>
      <c r="CC201" s="5">
        <v>8.01</v>
      </c>
    </row>
    <row r="202" spans="1:81" x14ac:dyDescent="0.2">
      <c r="A202" s="2">
        <v>44440</v>
      </c>
      <c r="B202">
        <v>2021</v>
      </c>
      <c r="C202">
        <v>9</v>
      </c>
      <c r="E202">
        <v>11.52</v>
      </c>
      <c r="F202">
        <v>24.5</v>
      </c>
      <c r="G202">
        <v>39.25</v>
      </c>
      <c r="J202">
        <v>6.9782999999999999</v>
      </c>
      <c r="K202">
        <v>1.2670999999999999</v>
      </c>
      <c r="L202">
        <v>1.1765000000000001</v>
      </c>
      <c r="M202">
        <v>110.161</v>
      </c>
      <c r="N202">
        <v>6.4562999999999997</v>
      </c>
      <c r="O202">
        <v>0.92849814500000005</v>
      </c>
      <c r="P202">
        <v>86.939468079999997</v>
      </c>
      <c r="Q202">
        <v>5.0953358059999996</v>
      </c>
      <c r="R202">
        <v>18127035</v>
      </c>
      <c r="S202">
        <v>126495952</v>
      </c>
      <c r="T202">
        <v>9343.99</v>
      </c>
      <c r="U202">
        <v>1121.7</v>
      </c>
      <c r="W202">
        <v>12600338.27</v>
      </c>
      <c r="X202">
        <v>41778309.899999999</v>
      </c>
      <c r="Y202">
        <v>809.2</v>
      </c>
      <c r="Z202">
        <v>2491.0100000000002</v>
      </c>
      <c r="AA202">
        <v>581.75</v>
      </c>
      <c r="AB202">
        <v>282.39</v>
      </c>
      <c r="AC202">
        <v>57.91</v>
      </c>
      <c r="AD202">
        <v>4222.26</v>
      </c>
      <c r="AE202">
        <v>19724327</v>
      </c>
      <c r="AF202">
        <v>59621076</v>
      </c>
      <c r="AG202">
        <v>11466881</v>
      </c>
      <c r="AH202">
        <v>1288806</v>
      </c>
      <c r="AI202">
        <v>6245873</v>
      </c>
      <c r="AJ202">
        <v>98346963</v>
      </c>
      <c r="AK202">
        <v>1144</v>
      </c>
      <c r="AL202">
        <v>330</v>
      </c>
      <c r="AM202">
        <v>3</v>
      </c>
      <c r="AN202">
        <v>4725</v>
      </c>
      <c r="AO202">
        <v>142</v>
      </c>
      <c r="AP202">
        <v>6344</v>
      </c>
      <c r="AQ202">
        <v>19793011</v>
      </c>
      <c r="AR202">
        <v>7706551</v>
      </c>
      <c r="AS202">
        <v>57628</v>
      </c>
      <c r="AT202">
        <v>85169534</v>
      </c>
      <c r="AU202">
        <v>2573817</v>
      </c>
      <c r="AV202">
        <v>115300541</v>
      </c>
      <c r="AW202">
        <v>11.06</v>
      </c>
      <c r="AX202">
        <v>10.86</v>
      </c>
      <c r="AY202">
        <v>8.94</v>
      </c>
      <c r="AZ202">
        <v>2.0699999999999998</v>
      </c>
      <c r="BA202">
        <v>10.57</v>
      </c>
      <c r="BB202">
        <v>7.85</v>
      </c>
      <c r="BC202">
        <v>10.59</v>
      </c>
      <c r="BD202">
        <v>8.7100000000000009</v>
      </c>
      <c r="BE202">
        <v>8.18</v>
      </c>
      <c r="BF202">
        <v>8.24</v>
      </c>
      <c r="BG202">
        <v>0.19170000000000001</v>
      </c>
      <c r="BH202">
        <v>0.59</v>
      </c>
      <c r="BI202">
        <v>0.13780000000000001</v>
      </c>
      <c r="BJ202">
        <v>6.6900000000000001E-2</v>
      </c>
      <c r="BK202">
        <v>0.18029999999999999</v>
      </c>
      <c r="BL202">
        <v>5.1999999999999998E-2</v>
      </c>
      <c r="BM202">
        <v>5.0000000000000001E-4</v>
      </c>
      <c r="BN202">
        <v>0.74480000000000002</v>
      </c>
      <c r="BO202">
        <v>-0.55000000000000004</v>
      </c>
      <c r="BP202">
        <v>-0.2</v>
      </c>
      <c r="BQ202">
        <v>-2.12</v>
      </c>
      <c r="BR202">
        <v>-8.99</v>
      </c>
      <c r="BS202">
        <v>12600635.57</v>
      </c>
      <c r="BT202">
        <v>15998.93</v>
      </c>
      <c r="BU202">
        <v>7.44</v>
      </c>
      <c r="BV202">
        <v>109364.58</v>
      </c>
      <c r="BW202">
        <v>10.67</v>
      </c>
      <c r="BX202">
        <v>35273.919999999998</v>
      </c>
      <c r="BY202">
        <v>9.5494915220000003</v>
      </c>
      <c r="BZ202" s="5">
        <v>719133.05</v>
      </c>
      <c r="CA202" s="5">
        <v>10.220000000000001</v>
      </c>
      <c r="CB202" s="5">
        <v>347757.46</v>
      </c>
      <c r="CC202" s="5">
        <v>9.77</v>
      </c>
    </row>
    <row r="203" spans="1:81" x14ac:dyDescent="0.2">
      <c r="A203" s="2">
        <v>44470</v>
      </c>
      <c r="B203">
        <v>2021</v>
      </c>
      <c r="C203">
        <v>10</v>
      </c>
      <c r="E203">
        <v>12.56</v>
      </c>
      <c r="F203">
        <v>24.5</v>
      </c>
      <c r="G203">
        <v>39.159999999999997</v>
      </c>
      <c r="I203">
        <v>11</v>
      </c>
      <c r="J203">
        <v>6.4265999999999996</v>
      </c>
      <c r="K203">
        <v>1.2434000000000001</v>
      </c>
      <c r="L203">
        <v>1.1599999999999999</v>
      </c>
      <c r="M203">
        <v>113.1215</v>
      </c>
      <c r="N203">
        <v>6.4172000000000002</v>
      </c>
      <c r="O203">
        <v>0.932925848</v>
      </c>
      <c r="P203">
        <v>90.977561519999995</v>
      </c>
      <c r="Q203">
        <v>5.1610101339999996</v>
      </c>
      <c r="R203">
        <v>19948912</v>
      </c>
      <c r="S203">
        <v>128204028</v>
      </c>
      <c r="T203">
        <v>10674.99</v>
      </c>
      <c r="U203">
        <v>1626.3</v>
      </c>
      <c r="W203">
        <v>5416568.5930000003</v>
      </c>
      <c r="X203">
        <v>41826784.5</v>
      </c>
      <c r="Y203">
        <v>342.36</v>
      </c>
      <c r="Z203">
        <v>1322.44</v>
      </c>
      <c r="AA203">
        <v>277.81</v>
      </c>
      <c r="AB203">
        <v>195.37</v>
      </c>
      <c r="AC203">
        <v>56.61</v>
      </c>
      <c r="AD203">
        <v>2194.59</v>
      </c>
      <c r="AE203">
        <v>8696452</v>
      </c>
      <c r="AF203">
        <v>31761307</v>
      </c>
      <c r="AG203">
        <v>5805562</v>
      </c>
      <c r="AH203">
        <v>1185978</v>
      </c>
      <c r="AI203">
        <v>4023843</v>
      </c>
      <c r="AJ203">
        <v>51473142</v>
      </c>
      <c r="AK203">
        <v>1111</v>
      </c>
      <c r="AL203">
        <v>375</v>
      </c>
      <c r="AM203">
        <v>4</v>
      </c>
      <c r="AN203">
        <v>5511</v>
      </c>
      <c r="AO203">
        <v>220</v>
      </c>
      <c r="AP203">
        <v>7221</v>
      </c>
      <c r="AQ203">
        <v>18771571</v>
      </c>
      <c r="AR203">
        <v>8690616</v>
      </c>
      <c r="AS203">
        <v>75298</v>
      </c>
      <c r="AT203">
        <v>94669109</v>
      </c>
      <c r="AU203">
        <v>3856039</v>
      </c>
      <c r="AV203">
        <v>126062633</v>
      </c>
      <c r="AW203">
        <v>11.52</v>
      </c>
      <c r="AX203">
        <v>10.89</v>
      </c>
      <c r="AY203">
        <v>9.48</v>
      </c>
      <c r="AZ203">
        <v>2.75</v>
      </c>
      <c r="BA203">
        <v>10.64</v>
      </c>
      <c r="BB203">
        <v>7.66</v>
      </c>
      <c r="BC203">
        <v>10.51</v>
      </c>
      <c r="BD203">
        <v>8.5399999999999991</v>
      </c>
      <c r="BE203">
        <v>7.79</v>
      </c>
      <c r="BF203">
        <v>7.92</v>
      </c>
      <c r="BG203">
        <v>0.156</v>
      </c>
      <c r="BH203">
        <v>0.60260000000000002</v>
      </c>
      <c r="BI203">
        <v>0.12659999999999999</v>
      </c>
      <c r="BJ203">
        <v>8.8999999999999996E-2</v>
      </c>
      <c r="BK203">
        <v>0.15390000000000001</v>
      </c>
      <c r="BL203">
        <v>5.1900000000000002E-2</v>
      </c>
      <c r="BM203">
        <v>5.9999999999999995E-4</v>
      </c>
      <c r="BN203">
        <v>0.76319999999999999</v>
      </c>
      <c r="BO203">
        <v>-1.47</v>
      </c>
      <c r="BP203">
        <v>-0.63</v>
      </c>
      <c r="BQ203">
        <v>-2.04</v>
      </c>
      <c r="BR203">
        <v>-8.77</v>
      </c>
      <c r="BS203">
        <v>5417564.4689999996</v>
      </c>
      <c r="BT203">
        <v>288761.13</v>
      </c>
      <c r="BU203">
        <v>17.510000000000002</v>
      </c>
      <c r="BV203">
        <v>3583477.53</v>
      </c>
      <c r="BW203">
        <v>13.61</v>
      </c>
      <c r="BX203">
        <v>148950.74110000001</v>
      </c>
      <c r="BY203">
        <v>7.6477833669999997</v>
      </c>
      <c r="BZ203" s="5">
        <v>1114730.8600000001</v>
      </c>
      <c r="CA203" s="5">
        <v>11.65</v>
      </c>
      <c r="CB203" s="5">
        <v>525238.54</v>
      </c>
      <c r="CC203" s="5">
        <v>8.52</v>
      </c>
    </row>
    <row r="204" spans="1:81" x14ac:dyDescent="0.2">
      <c r="A204" s="2">
        <v>44501</v>
      </c>
      <c r="B204">
        <v>2021</v>
      </c>
      <c r="C204">
        <v>11</v>
      </c>
      <c r="E204">
        <v>11.7</v>
      </c>
      <c r="F204">
        <v>24.5</v>
      </c>
      <c r="G204">
        <v>38.5</v>
      </c>
      <c r="J204">
        <v>6.2766000000000002</v>
      </c>
      <c r="K204">
        <v>1.2566999999999999</v>
      </c>
      <c r="L204">
        <v>1.1415999999999999</v>
      </c>
      <c r="M204">
        <v>113.965</v>
      </c>
      <c r="N204">
        <v>6.3888999999999996</v>
      </c>
      <c r="O204">
        <v>0.90841091699999998</v>
      </c>
      <c r="P204">
        <v>90.685923450000004</v>
      </c>
      <c r="Q204">
        <v>5.0838704540000004</v>
      </c>
      <c r="R204">
        <v>14512878</v>
      </c>
      <c r="S204">
        <v>91091429</v>
      </c>
      <c r="T204">
        <v>9270.0400000000009</v>
      </c>
      <c r="U204">
        <v>2687.1</v>
      </c>
      <c r="W204">
        <v>6850805.2640000004</v>
      </c>
      <c r="X204">
        <v>41875337.799999997</v>
      </c>
      <c r="Y204">
        <v>1012.01</v>
      </c>
      <c r="Z204">
        <v>1285.1300000000001</v>
      </c>
      <c r="AA204">
        <v>342.68</v>
      </c>
      <c r="AB204">
        <v>320.5</v>
      </c>
      <c r="AC204">
        <v>70.150000000000006</v>
      </c>
      <c r="AD204">
        <v>3030.47</v>
      </c>
      <c r="AE204">
        <v>25800509</v>
      </c>
      <c r="AF204">
        <v>28926102</v>
      </c>
      <c r="AG204">
        <v>7312364</v>
      </c>
      <c r="AH204">
        <v>1479436</v>
      </c>
      <c r="AI204">
        <v>6641230</v>
      </c>
      <c r="AJ204">
        <v>70159641</v>
      </c>
      <c r="AK204">
        <v>912</v>
      </c>
      <c r="AL204">
        <v>407</v>
      </c>
      <c r="AM204">
        <v>8</v>
      </c>
      <c r="AN204">
        <v>3572</v>
      </c>
      <c r="AO204">
        <v>249</v>
      </c>
      <c r="AP204">
        <v>5148</v>
      </c>
      <c r="AQ204">
        <v>15532712</v>
      </c>
      <c r="AR204">
        <v>9331630</v>
      </c>
      <c r="AS204">
        <v>185383</v>
      </c>
      <c r="AT204">
        <v>59779374</v>
      </c>
      <c r="AU204">
        <v>4646936</v>
      </c>
      <c r="AV204">
        <v>89476035</v>
      </c>
      <c r="AW204">
        <v>11.56</v>
      </c>
      <c r="AX204">
        <v>10.210000000000001</v>
      </c>
      <c r="AY204">
        <v>9.68</v>
      </c>
      <c r="AZ204">
        <v>2.09</v>
      </c>
      <c r="BA204">
        <v>10.5</v>
      </c>
      <c r="BB204">
        <v>7.73</v>
      </c>
      <c r="BC204">
        <v>10.4</v>
      </c>
      <c r="BD204">
        <v>10.51</v>
      </c>
      <c r="BE204">
        <v>7.59</v>
      </c>
      <c r="BF204">
        <v>7.88</v>
      </c>
      <c r="BG204">
        <v>0.33389999999999997</v>
      </c>
      <c r="BH204">
        <v>0.42409999999999998</v>
      </c>
      <c r="BI204">
        <v>0.11310000000000001</v>
      </c>
      <c r="BJ204">
        <v>0.10580000000000001</v>
      </c>
      <c r="BK204">
        <v>0.1772</v>
      </c>
      <c r="BL204">
        <v>7.9100000000000004E-2</v>
      </c>
      <c r="BM204">
        <v>1.6000000000000001E-3</v>
      </c>
      <c r="BN204">
        <v>0.69389999999999996</v>
      </c>
      <c r="BO204">
        <v>-1.61</v>
      </c>
      <c r="BP204">
        <v>-1.35</v>
      </c>
      <c r="BQ204">
        <v>-1.88</v>
      </c>
      <c r="BR204">
        <v>-9.4700000000000006</v>
      </c>
      <c r="BS204">
        <v>6852327.9890000001</v>
      </c>
      <c r="BT204">
        <v>306953.65000000002</v>
      </c>
      <c r="BU204">
        <v>16.920000000000002</v>
      </c>
      <c r="BV204">
        <v>4681856.7</v>
      </c>
      <c r="BW204">
        <v>14.29</v>
      </c>
      <c r="BX204">
        <v>60957.743000000002</v>
      </c>
      <c r="BY204">
        <v>9.9533704850000007</v>
      </c>
      <c r="BZ204" s="5">
        <v>638035.93999999994</v>
      </c>
      <c r="CA204" s="5">
        <v>12.01</v>
      </c>
      <c r="CB204" s="5">
        <v>340521.88</v>
      </c>
      <c r="CC204" s="5">
        <v>8.0299999999999994</v>
      </c>
    </row>
    <row r="205" spans="1:81" x14ac:dyDescent="0.2">
      <c r="A205" s="2">
        <v>44531</v>
      </c>
      <c r="B205">
        <v>2021</v>
      </c>
      <c r="C205">
        <v>12</v>
      </c>
      <c r="E205">
        <v>10.97</v>
      </c>
      <c r="F205">
        <v>24.5</v>
      </c>
      <c r="G205">
        <v>38</v>
      </c>
      <c r="J205">
        <v>6.6745000000000001</v>
      </c>
      <c r="K205">
        <v>1.28</v>
      </c>
      <c r="L205">
        <v>1.1301000000000001</v>
      </c>
      <c r="M205">
        <v>113.8329</v>
      </c>
      <c r="N205">
        <v>6.3693</v>
      </c>
      <c r="O205">
        <v>0.88289062500000004</v>
      </c>
      <c r="P205">
        <v>88.931953129999997</v>
      </c>
      <c r="Q205">
        <v>4.9760156249999996</v>
      </c>
      <c r="R205">
        <v>5586804</v>
      </c>
      <c r="S205">
        <v>37289329</v>
      </c>
      <c r="T205">
        <v>23801.78</v>
      </c>
      <c r="U205">
        <v>21267.65</v>
      </c>
      <c r="W205">
        <v>31744830.010000002</v>
      </c>
      <c r="X205">
        <v>41923969.899999999</v>
      </c>
      <c r="Y205">
        <v>3619.42</v>
      </c>
      <c r="Z205">
        <v>1633.64</v>
      </c>
      <c r="AA205">
        <v>1505.4</v>
      </c>
      <c r="AB205">
        <v>494.35</v>
      </c>
      <c r="AC205">
        <v>93.53</v>
      </c>
      <c r="AD205">
        <v>7346.34</v>
      </c>
      <c r="AE205">
        <v>96081132</v>
      </c>
      <c r="AF205">
        <v>37115238</v>
      </c>
      <c r="AG205">
        <v>38429881</v>
      </c>
      <c r="AH205">
        <v>1981913</v>
      </c>
      <c r="AI205">
        <v>10596345</v>
      </c>
      <c r="AJ205">
        <v>184204509</v>
      </c>
      <c r="AK205">
        <v>937</v>
      </c>
      <c r="AL205">
        <v>876</v>
      </c>
      <c r="AM205">
        <v>21</v>
      </c>
      <c r="AN205">
        <v>654</v>
      </c>
      <c r="AO205">
        <v>354</v>
      </c>
      <c r="AP205">
        <v>2842</v>
      </c>
      <c r="AQ205">
        <v>16584580</v>
      </c>
      <c r="AR205">
        <v>20279113</v>
      </c>
      <c r="AS205">
        <v>445816</v>
      </c>
      <c r="AT205">
        <v>11481393</v>
      </c>
      <c r="AU205">
        <v>6180905</v>
      </c>
      <c r="AV205">
        <v>54971807</v>
      </c>
      <c r="AW205">
        <v>12.04</v>
      </c>
      <c r="AX205">
        <v>10.31</v>
      </c>
      <c r="AY205">
        <v>11.58</v>
      </c>
      <c r="AZ205">
        <v>1.82</v>
      </c>
      <c r="BA205">
        <v>11.37</v>
      </c>
      <c r="BB205">
        <v>8.0299999999999994</v>
      </c>
      <c r="BC205">
        <v>10.5</v>
      </c>
      <c r="BD205">
        <v>9.6300000000000008</v>
      </c>
      <c r="BE205">
        <v>7.96</v>
      </c>
      <c r="BF205">
        <v>8.77</v>
      </c>
      <c r="BG205">
        <v>0.49270000000000003</v>
      </c>
      <c r="BH205">
        <v>0.22239999999999999</v>
      </c>
      <c r="BI205">
        <v>0.2049</v>
      </c>
      <c r="BJ205">
        <v>6.7299999999999999E-2</v>
      </c>
      <c r="BK205">
        <v>0.32969999999999999</v>
      </c>
      <c r="BL205">
        <v>0.30819999999999997</v>
      </c>
      <c r="BM205">
        <v>7.4000000000000003E-3</v>
      </c>
      <c r="BN205">
        <v>0.2301</v>
      </c>
      <c r="BO205">
        <v>-1.44</v>
      </c>
      <c r="BP205">
        <v>-1.73</v>
      </c>
      <c r="BQ205">
        <v>-0.46</v>
      </c>
      <c r="BR205">
        <v>-10.220000000000001</v>
      </c>
      <c r="BS205">
        <v>31745308.84</v>
      </c>
      <c r="BT205">
        <v>2193.6</v>
      </c>
      <c r="BU205">
        <v>8.41</v>
      </c>
      <c r="BV205">
        <v>101099.46</v>
      </c>
      <c r="BW205">
        <v>10.61</v>
      </c>
      <c r="BX205">
        <v>37035.411379999998</v>
      </c>
      <c r="BY205">
        <v>10.05497134</v>
      </c>
      <c r="BZ205" s="5">
        <v>206328.59</v>
      </c>
      <c r="CA205" s="5">
        <v>14.57</v>
      </c>
      <c r="CB205" s="5">
        <v>44154.22</v>
      </c>
      <c r="CC205" s="5">
        <v>8.51</v>
      </c>
    </row>
    <row r="206" spans="1:81" x14ac:dyDescent="0.2">
      <c r="A206" s="2">
        <v>44562</v>
      </c>
      <c r="B206">
        <v>2022</v>
      </c>
      <c r="C206">
        <v>1</v>
      </c>
      <c r="E206">
        <v>11.28</v>
      </c>
      <c r="F206">
        <v>24.28</v>
      </c>
      <c r="G206">
        <v>38</v>
      </c>
      <c r="I206">
        <v>8</v>
      </c>
      <c r="J206">
        <v>7.5183999999999997</v>
      </c>
      <c r="K206">
        <v>1.2622</v>
      </c>
      <c r="L206">
        <v>1.1316999999999999</v>
      </c>
      <c r="M206">
        <v>114.82550000000001</v>
      </c>
      <c r="N206">
        <v>6.3555999999999999</v>
      </c>
      <c r="O206">
        <v>0.89660909499999997</v>
      </c>
      <c r="P206">
        <v>90.972508320000003</v>
      </c>
      <c r="Q206">
        <v>5.0353351289999999</v>
      </c>
      <c r="R206">
        <v>1001658</v>
      </c>
      <c r="S206">
        <v>7530862</v>
      </c>
      <c r="T206">
        <v>7087.19</v>
      </c>
      <c r="U206">
        <v>6632.85</v>
      </c>
      <c r="W206">
        <v>25473220.100000001</v>
      </c>
      <c r="X206">
        <v>41972681</v>
      </c>
      <c r="Y206">
        <v>1735.64</v>
      </c>
      <c r="Z206">
        <v>3435.57</v>
      </c>
      <c r="AA206">
        <v>289.16000000000003</v>
      </c>
      <c r="AB206">
        <v>394.77</v>
      </c>
      <c r="AC206">
        <v>37.35</v>
      </c>
      <c r="AD206">
        <v>5892.49</v>
      </c>
      <c r="AE206">
        <v>47313027</v>
      </c>
      <c r="AF206">
        <v>85096018</v>
      </c>
      <c r="AG206">
        <v>7326141</v>
      </c>
      <c r="AH206">
        <v>1022880</v>
      </c>
      <c r="AI206">
        <v>8277187</v>
      </c>
      <c r="AJ206">
        <v>149035253</v>
      </c>
      <c r="AK206">
        <v>927</v>
      </c>
      <c r="AL206">
        <v>152</v>
      </c>
      <c r="AM206">
        <v>7</v>
      </c>
      <c r="AN206">
        <v>159</v>
      </c>
      <c r="AO206">
        <v>144</v>
      </c>
      <c r="AP206">
        <v>1389</v>
      </c>
      <c r="AQ206">
        <v>19883289</v>
      </c>
      <c r="AR206">
        <v>3758271</v>
      </c>
      <c r="AS206">
        <v>158366</v>
      </c>
      <c r="AT206">
        <v>2963919</v>
      </c>
      <c r="AU206">
        <v>3524888</v>
      </c>
      <c r="AV206">
        <v>30288733</v>
      </c>
      <c r="AW206">
        <v>12.36</v>
      </c>
      <c r="AX206">
        <v>11.24</v>
      </c>
      <c r="AY206">
        <v>11.49</v>
      </c>
      <c r="AZ206">
        <v>1.18</v>
      </c>
      <c r="BA206">
        <v>11.47</v>
      </c>
      <c r="BB206">
        <v>9.73</v>
      </c>
      <c r="BC206">
        <v>11.22</v>
      </c>
      <c r="BD206">
        <v>10.26</v>
      </c>
      <c r="BE206">
        <v>8.4600000000000009</v>
      </c>
      <c r="BF206">
        <v>9.89</v>
      </c>
      <c r="BG206">
        <v>0.29459999999999997</v>
      </c>
      <c r="BH206">
        <v>0.58299999999999996</v>
      </c>
      <c r="BI206">
        <v>4.9099999999999998E-2</v>
      </c>
      <c r="BJ206">
        <v>6.7000000000000004E-2</v>
      </c>
      <c r="BK206">
        <v>0.66739999999999999</v>
      </c>
      <c r="BL206">
        <v>0.1094</v>
      </c>
      <c r="BM206">
        <v>5.0000000000000001E-3</v>
      </c>
      <c r="BN206">
        <v>0.1145</v>
      </c>
      <c r="BO206">
        <v>-1.34</v>
      </c>
      <c r="BP206">
        <v>-1.1200000000000001</v>
      </c>
      <c r="BQ206">
        <v>-0.87</v>
      </c>
      <c r="BR206">
        <v>-11.19</v>
      </c>
      <c r="BS206">
        <v>25474328.469999999</v>
      </c>
      <c r="BT206">
        <v>3231.97</v>
      </c>
      <c r="BU206">
        <v>14.6</v>
      </c>
      <c r="BV206">
        <v>147158.39000000001</v>
      </c>
      <c r="BW206">
        <v>12.33</v>
      </c>
      <c r="BX206">
        <v>436.51476000000002</v>
      </c>
      <c r="BY206">
        <v>27.779129390000001</v>
      </c>
      <c r="BZ206" s="5">
        <v>284656.7</v>
      </c>
      <c r="CA206" s="5">
        <v>8.1</v>
      </c>
      <c r="CB206" s="5">
        <v>151041.01999999999</v>
      </c>
      <c r="CC206" s="5">
        <v>10.82</v>
      </c>
    </row>
    <row r="207" spans="1:81" x14ac:dyDescent="0.2">
      <c r="A207" s="2">
        <v>44593</v>
      </c>
      <c r="B207">
        <v>2022</v>
      </c>
      <c r="C207">
        <v>2</v>
      </c>
      <c r="E207">
        <v>13.75</v>
      </c>
      <c r="F207">
        <v>24.25</v>
      </c>
      <c r="G207">
        <v>38</v>
      </c>
      <c r="I207">
        <v>9.75</v>
      </c>
      <c r="J207">
        <v>10.0762</v>
      </c>
      <c r="K207">
        <v>1.2710999999999999</v>
      </c>
      <c r="L207">
        <v>1.1349</v>
      </c>
      <c r="M207">
        <v>115.27630000000001</v>
      </c>
      <c r="N207">
        <v>6.3436000000000003</v>
      </c>
      <c r="O207">
        <v>0.89284871399999999</v>
      </c>
      <c r="P207">
        <v>90.690189599999997</v>
      </c>
      <c r="Q207">
        <v>4.9906380300000004</v>
      </c>
      <c r="R207">
        <v>402954</v>
      </c>
      <c r="S207">
        <v>4060248</v>
      </c>
      <c r="T207">
        <v>306.13</v>
      </c>
      <c r="U207">
        <v>123.35</v>
      </c>
      <c r="W207">
        <v>18409606.579999998</v>
      </c>
      <c r="X207">
        <v>42021471.299999997</v>
      </c>
      <c r="Y207">
        <v>1901.67</v>
      </c>
      <c r="Z207">
        <v>1650.9</v>
      </c>
      <c r="AA207">
        <v>519.89</v>
      </c>
      <c r="AB207">
        <v>319.99</v>
      </c>
      <c r="AC207">
        <v>38.9</v>
      </c>
      <c r="AD207">
        <v>4431.3500000000004</v>
      </c>
      <c r="AE207">
        <v>52904887</v>
      </c>
      <c r="AF207">
        <v>33340392</v>
      </c>
      <c r="AG207">
        <v>10977106</v>
      </c>
      <c r="AH207">
        <v>757914</v>
      </c>
      <c r="AI207">
        <v>6126430</v>
      </c>
      <c r="AJ207">
        <v>104106729</v>
      </c>
      <c r="AK207">
        <v>458</v>
      </c>
      <c r="AL207">
        <v>164</v>
      </c>
      <c r="AM207">
        <v>3</v>
      </c>
      <c r="AN207">
        <v>8</v>
      </c>
      <c r="AO207">
        <v>101</v>
      </c>
      <c r="AP207">
        <v>734</v>
      </c>
      <c r="AQ207">
        <v>11908362</v>
      </c>
      <c r="AR207">
        <v>4337617</v>
      </c>
      <c r="AS207">
        <v>70625</v>
      </c>
      <c r="AT207">
        <v>192828</v>
      </c>
      <c r="AU207">
        <v>2621897</v>
      </c>
      <c r="AV207">
        <v>19131329</v>
      </c>
      <c r="AW207">
        <v>12.62</v>
      </c>
      <c r="AX207">
        <v>9.16</v>
      </c>
      <c r="AY207">
        <v>9.58</v>
      </c>
      <c r="AZ207">
        <v>1.07</v>
      </c>
      <c r="BA207">
        <v>10.66</v>
      </c>
      <c r="BB207">
        <v>11.79</v>
      </c>
      <c r="BC207">
        <v>12</v>
      </c>
      <c r="BD207">
        <v>10.68</v>
      </c>
      <c r="BE207">
        <v>10.93</v>
      </c>
      <c r="BF207">
        <v>11.82</v>
      </c>
      <c r="BG207">
        <v>0.42909999999999998</v>
      </c>
      <c r="BH207">
        <v>0.37259999999999999</v>
      </c>
      <c r="BI207">
        <v>0.1173</v>
      </c>
      <c r="BJ207">
        <v>7.22E-2</v>
      </c>
      <c r="BK207">
        <v>0.624</v>
      </c>
      <c r="BL207">
        <v>0.22339999999999999</v>
      </c>
      <c r="BM207">
        <v>4.1000000000000003E-3</v>
      </c>
      <c r="BN207">
        <v>1.09E-2</v>
      </c>
      <c r="BO207">
        <v>1.01</v>
      </c>
      <c r="BP207">
        <v>-3.46</v>
      </c>
      <c r="BQ207">
        <v>-3.04</v>
      </c>
      <c r="BR207">
        <v>-11.54</v>
      </c>
      <c r="BS207">
        <v>18409406.469999999</v>
      </c>
      <c r="BT207">
        <v>174497.88</v>
      </c>
      <c r="BU207">
        <v>16.43</v>
      </c>
      <c r="BV207">
        <v>4812458.38</v>
      </c>
      <c r="BW207">
        <v>15.85</v>
      </c>
      <c r="BX207">
        <v>1761.4913799999999</v>
      </c>
      <c r="BY207">
        <v>25.764531420000001</v>
      </c>
      <c r="BZ207" s="5">
        <v>412491.84</v>
      </c>
      <c r="CA207" s="5">
        <v>18.2</v>
      </c>
      <c r="CB207" s="5">
        <v>0</v>
      </c>
      <c r="CC207" s="5">
        <v>0</v>
      </c>
    </row>
    <row r="208" spans="1:81" x14ac:dyDescent="0.2">
      <c r="A208" s="2">
        <v>44621</v>
      </c>
      <c r="B208">
        <v>2022</v>
      </c>
      <c r="C208">
        <v>3</v>
      </c>
      <c r="E208">
        <v>15.76</v>
      </c>
      <c r="F208">
        <v>24.25</v>
      </c>
      <c r="G208">
        <v>37.799999999999997</v>
      </c>
      <c r="I208">
        <v>11.6</v>
      </c>
      <c r="J208">
        <v>12.8865</v>
      </c>
      <c r="K208">
        <v>1.266</v>
      </c>
      <c r="L208">
        <v>1.1019000000000001</v>
      </c>
      <c r="M208">
        <v>118.5774</v>
      </c>
      <c r="N208">
        <v>6.3445999999999998</v>
      </c>
      <c r="O208">
        <v>0.87037914699999996</v>
      </c>
      <c r="P208">
        <v>93.663033179999999</v>
      </c>
      <c r="Q208">
        <v>5.0115323849999998</v>
      </c>
      <c r="R208">
        <v>755951</v>
      </c>
      <c r="S208">
        <v>9741535</v>
      </c>
      <c r="T208">
        <v>466.24</v>
      </c>
      <c r="U208">
        <v>123.35</v>
      </c>
      <c r="W208">
        <v>9718248.7709999997</v>
      </c>
      <c r="X208">
        <v>42070341</v>
      </c>
      <c r="Y208">
        <v>1773.57</v>
      </c>
      <c r="Z208">
        <v>866.29</v>
      </c>
      <c r="AA208">
        <v>516.49</v>
      </c>
      <c r="AB208">
        <v>256.98</v>
      </c>
      <c r="AC208">
        <v>69.52</v>
      </c>
      <c r="AD208">
        <v>3482.85</v>
      </c>
      <c r="AE208">
        <v>44749531</v>
      </c>
      <c r="AF208">
        <v>20087898</v>
      </c>
      <c r="AG208">
        <v>10073802</v>
      </c>
      <c r="AH208">
        <v>1716182</v>
      </c>
      <c r="AI208">
        <v>5022149</v>
      </c>
      <c r="AJ208">
        <v>81649562</v>
      </c>
      <c r="AK208">
        <v>214</v>
      </c>
      <c r="AL208">
        <v>140</v>
      </c>
      <c r="AM208">
        <v>3</v>
      </c>
      <c r="AN208">
        <v>3</v>
      </c>
      <c r="AO208">
        <v>119</v>
      </c>
      <c r="AP208">
        <v>479</v>
      </c>
      <c r="AQ208">
        <v>5653365</v>
      </c>
      <c r="AR208">
        <v>3991442</v>
      </c>
      <c r="AS208">
        <v>69300</v>
      </c>
      <c r="AT208">
        <v>93912</v>
      </c>
      <c r="AU208">
        <v>3195095</v>
      </c>
      <c r="AV208">
        <v>13003114</v>
      </c>
      <c r="AW208">
        <v>11.44</v>
      </c>
      <c r="AX208">
        <v>10.52</v>
      </c>
      <c r="AY208">
        <v>8.85</v>
      </c>
      <c r="AZ208">
        <v>3.03</v>
      </c>
      <c r="BA208">
        <v>10.63</v>
      </c>
      <c r="BB208">
        <v>11.98</v>
      </c>
      <c r="BC208">
        <v>12.93</v>
      </c>
      <c r="BD208">
        <v>10.48</v>
      </c>
      <c r="BE208">
        <v>14.2</v>
      </c>
      <c r="BF208">
        <v>12.31</v>
      </c>
      <c r="BG208">
        <v>0.50919999999999999</v>
      </c>
      <c r="BH208">
        <v>0.2487</v>
      </c>
      <c r="BI208">
        <v>0.14829999999999999</v>
      </c>
      <c r="BJ208">
        <v>7.3800000000000004E-2</v>
      </c>
      <c r="BK208">
        <v>0.44679999999999997</v>
      </c>
      <c r="BL208">
        <v>0.2923</v>
      </c>
      <c r="BM208">
        <v>6.3E-3</v>
      </c>
      <c r="BN208">
        <v>6.3E-3</v>
      </c>
      <c r="BO208">
        <v>5.16</v>
      </c>
      <c r="BP208">
        <v>-0.92</v>
      </c>
      <c r="BQ208">
        <v>-2.6</v>
      </c>
      <c r="BR208">
        <v>-8.42</v>
      </c>
      <c r="BS208">
        <v>9716245.4210000001</v>
      </c>
      <c r="BT208">
        <v>250905.60000000001</v>
      </c>
      <c r="BU208">
        <v>12.64</v>
      </c>
      <c r="BV208">
        <v>3143397.9</v>
      </c>
      <c r="BW208">
        <v>15.17</v>
      </c>
      <c r="BZ208" s="5">
        <v>63526.25</v>
      </c>
      <c r="CA208" s="5">
        <v>20.61</v>
      </c>
      <c r="CB208" s="5">
        <v>31724.55</v>
      </c>
      <c r="CC208" s="5">
        <v>11.5</v>
      </c>
    </row>
    <row r="209" spans="1:81" x14ac:dyDescent="0.2">
      <c r="A209" s="2">
        <v>44652</v>
      </c>
      <c r="B209">
        <v>2022</v>
      </c>
      <c r="C209">
        <v>4</v>
      </c>
      <c r="E209">
        <v>12.14</v>
      </c>
      <c r="F209">
        <v>24.25</v>
      </c>
      <c r="G209">
        <v>37.880000000000003</v>
      </c>
      <c r="J209">
        <v>9.2516999999999996</v>
      </c>
      <c r="K209">
        <v>1.2627999999999999</v>
      </c>
      <c r="L209">
        <v>1.0803</v>
      </c>
      <c r="M209">
        <v>126.37430000000001</v>
      </c>
      <c r="N209">
        <v>6.431</v>
      </c>
      <c r="O209">
        <v>0.85547988600000002</v>
      </c>
      <c r="P209">
        <v>100.0746753</v>
      </c>
      <c r="Q209">
        <v>5.0926512510000004</v>
      </c>
      <c r="R209">
        <v>1021257</v>
      </c>
      <c r="S209">
        <v>9448322</v>
      </c>
      <c r="T209">
        <v>1209.81</v>
      </c>
      <c r="U209">
        <v>746.57</v>
      </c>
      <c r="W209">
        <v>4161385.8820000002</v>
      </c>
      <c r="X209">
        <v>42119290.299999997</v>
      </c>
      <c r="Y209">
        <v>1720.36</v>
      </c>
      <c r="Z209">
        <v>847.53</v>
      </c>
      <c r="AA209">
        <v>445.3</v>
      </c>
      <c r="AB209">
        <v>262.62</v>
      </c>
      <c r="AC209">
        <v>57.23</v>
      </c>
      <c r="AD209">
        <v>3333.04</v>
      </c>
      <c r="AE209">
        <v>46005258</v>
      </c>
      <c r="AF209">
        <v>19125079</v>
      </c>
      <c r="AG209">
        <v>8565853</v>
      </c>
      <c r="AH209">
        <v>1500943</v>
      </c>
      <c r="AI209">
        <v>5210414</v>
      </c>
      <c r="AJ209">
        <v>80407547</v>
      </c>
      <c r="AK209">
        <v>171</v>
      </c>
      <c r="AL209">
        <v>171</v>
      </c>
      <c r="AM209">
        <v>6</v>
      </c>
      <c r="AN209">
        <v>1</v>
      </c>
      <c r="AO209">
        <v>85</v>
      </c>
      <c r="AP209">
        <v>434</v>
      </c>
      <c r="AQ209">
        <v>4516150</v>
      </c>
      <c r="AR209">
        <v>4720062</v>
      </c>
      <c r="AS209">
        <v>162920</v>
      </c>
      <c r="AT209">
        <v>16257</v>
      </c>
      <c r="AU209">
        <v>2364401</v>
      </c>
      <c r="AV209">
        <v>11779790</v>
      </c>
      <c r="AW209">
        <v>12.13</v>
      </c>
      <c r="AX209">
        <v>10.24</v>
      </c>
      <c r="AY209">
        <v>8.73</v>
      </c>
      <c r="AZ209">
        <v>2.59</v>
      </c>
      <c r="BA209">
        <v>10.94</v>
      </c>
      <c r="BB209">
        <v>11.98</v>
      </c>
      <c r="BC209">
        <v>12.52</v>
      </c>
      <c r="BD209">
        <v>12.32</v>
      </c>
      <c r="BE209">
        <v>7.37</v>
      </c>
      <c r="BF209">
        <v>12.31</v>
      </c>
      <c r="BG209">
        <v>0.51619999999999999</v>
      </c>
      <c r="BH209">
        <v>0.25430000000000003</v>
      </c>
      <c r="BI209">
        <v>0.1336</v>
      </c>
      <c r="BJ209">
        <v>7.8799999999999995E-2</v>
      </c>
      <c r="BK209">
        <v>0.39400000000000002</v>
      </c>
      <c r="BL209">
        <v>0.39400000000000002</v>
      </c>
      <c r="BM209">
        <v>1.38E-2</v>
      </c>
      <c r="BN209">
        <v>2.3E-3</v>
      </c>
      <c r="BO209">
        <v>-2.23</v>
      </c>
      <c r="BP209">
        <v>-1.89</v>
      </c>
      <c r="BQ209">
        <v>-3.4</v>
      </c>
      <c r="BR209">
        <v>-9.5399999999999991</v>
      </c>
      <c r="BS209">
        <v>4161787.0180000002</v>
      </c>
      <c r="BT209">
        <v>73175.75</v>
      </c>
      <c r="BU209">
        <v>3.51</v>
      </c>
      <c r="BV209">
        <v>106514.01</v>
      </c>
      <c r="BW209">
        <v>13.39</v>
      </c>
      <c r="BZ209" s="5">
        <v>72190.429999999993</v>
      </c>
      <c r="CA209" s="5">
        <v>16.18</v>
      </c>
      <c r="CB209" s="5">
        <v>24954.14</v>
      </c>
      <c r="CC209" s="5">
        <v>9.5399999999999991</v>
      </c>
    </row>
    <row r="210" spans="1:81" x14ac:dyDescent="0.2">
      <c r="A210" s="2">
        <v>44682</v>
      </c>
      <c r="B210">
        <v>2022</v>
      </c>
      <c r="C210">
        <v>5</v>
      </c>
      <c r="E210">
        <v>8.91</v>
      </c>
      <c r="F210">
        <v>22.89</v>
      </c>
      <c r="G210">
        <v>35.31</v>
      </c>
      <c r="J210">
        <v>6.8329000000000004</v>
      </c>
      <c r="K210">
        <v>1.2859</v>
      </c>
      <c r="L210">
        <v>1.0567</v>
      </c>
      <c r="M210">
        <v>128.8486</v>
      </c>
      <c r="N210">
        <v>6.6989999999999998</v>
      </c>
      <c r="O210">
        <v>0.821759079</v>
      </c>
      <c r="P210">
        <v>100.2011043</v>
      </c>
      <c r="Q210">
        <v>5.2095808379999999</v>
      </c>
      <c r="R210">
        <v>2396833</v>
      </c>
      <c r="S210">
        <v>16377386</v>
      </c>
      <c r="T210">
        <v>38773.94</v>
      </c>
      <c r="U210">
        <v>37686.75</v>
      </c>
      <c r="W210">
        <v>7257167.7690000003</v>
      </c>
      <c r="X210">
        <v>42168319.399999999</v>
      </c>
      <c r="Y210">
        <v>3912.05</v>
      </c>
      <c r="Z210">
        <v>1229.51</v>
      </c>
      <c r="AA210">
        <v>740.97</v>
      </c>
      <c r="AB210">
        <v>318.16000000000003</v>
      </c>
      <c r="AC210">
        <v>65.95</v>
      </c>
      <c r="AD210">
        <v>6266.64</v>
      </c>
      <c r="AE210">
        <v>92835180</v>
      </c>
      <c r="AF210">
        <v>27369547</v>
      </c>
      <c r="AG210">
        <v>13586369</v>
      </c>
      <c r="AH210">
        <v>1086110</v>
      </c>
      <c r="AI210">
        <v>6490904</v>
      </c>
      <c r="AJ210">
        <v>141368110</v>
      </c>
      <c r="AK210">
        <v>460</v>
      </c>
      <c r="AL210">
        <v>198</v>
      </c>
      <c r="AM210">
        <v>5</v>
      </c>
      <c r="AN210">
        <v>90</v>
      </c>
      <c r="AO210">
        <v>103</v>
      </c>
      <c r="AP210">
        <v>856</v>
      </c>
      <c r="AQ210">
        <v>10132350</v>
      </c>
      <c r="AR210">
        <v>4997424</v>
      </c>
      <c r="AS210">
        <v>104226</v>
      </c>
      <c r="AT210">
        <v>1626401</v>
      </c>
      <c r="AU210">
        <v>2760507</v>
      </c>
      <c r="AV210">
        <v>19620908</v>
      </c>
      <c r="AW210">
        <v>10.76</v>
      </c>
      <c r="AX210">
        <v>10.1</v>
      </c>
      <c r="AY210">
        <v>8.32</v>
      </c>
      <c r="AZ210">
        <v>1.55</v>
      </c>
      <c r="BA210">
        <v>10.23</v>
      </c>
      <c r="BB210">
        <v>9.99</v>
      </c>
      <c r="BC210">
        <v>11.45</v>
      </c>
      <c r="BD210">
        <v>9.4600000000000009</v>
      </c>
      <c r="BE210">
        <v>8.1999999999999993</v>
      </c>
      <c r="BF210">
        <v>10.4</v>
      </c>
      <c r="BG210">
        <v>0.62429999999999997</v>
      </c>
      <c r="BH210">
        <v>0.19620000000000001</v>
      </c>
      <c r="BI210">
        <v>0.1182</v>
      </c>
      <c r="BJ210">
        <v>5.0799999999999998E-2</v>
      </c>
      <c r="BK210">
        <v>0.53739999999999999</v>
      </c>
      <c r="BL210">
        <v>0.23130000000000001</v>
      </c>
      <c r="BM210">
        <v>5.7999999999999996E-3</v>
      </c>
      <c r="BN210">
        <v>0.1051</v>
      </c>
      <c r="BO210">
        <v>-0.17</v>
      </c>
      <c r="BP210">
        <v>-0.66</v>
      </c>
      <c r="BQ210">
        <v>-2.4500000000000002</v>
      </c>
      <c r="BR210">
        <v>-9.2200000000000006</v>
      </c>
      <c r="BS210">
        <v>7255629.6289999997</v>
      </c>
      <c r="BT210">
        <v>148163.69</v>
      </c>
      <c r="BU210">
        <v>4.9800000000000004</v>
      </c>
      <c r="BV210">
        <v>89838.27</v>
      </c>
      <c r="BW210">
        <v>13.5</v>
      </c>
      <c r="BX210">
        <v>35031.411800000002</v>
      </c>
      <c r="BY210">
        <v>8.5948291700000006</v>
      </c>
      <c r="BZ210" s="5">
        <v>732228.52</v>
      </c>
      <c r="CA210" s="5">
        <v>9.99</v>
      </c>
      <c r="CB210" s="5">
        <v>104280.94</v>
      </c>
      <c r="CC210" s="5">
        <v>9.4600000000000009</v>
      </c>
    </row>
    <row r="211" spans="1:81" x14ac:dyDescent="0.2">
      <c r="A211" s="2">
        <v>44713</v>
      </c>
      <c r="B211">
        <v>2022</v>
      </c>
      <c r="C211">
        <v>6</v>
      </c>
      <c r="E211">
        <v>7.65</v>
      </c>
      <c r="F211">
        <v>20.61</v>
      </c>
      <c r="G211">
        <v>31.83</v>
      </c>
      <c r="J211">
        <v>5.3826999999999998</v>
      </c>
      <c r="K211">
        <v>1.2804</v>
      </c>
      <c r="L211">
        <v>1.0567</v>
      </c>
      <c r="M211">
        <v>133.96190000000001</v>
      </c>
      <c r="N211">
        <v>6.6951999999999998</v>
      </c>
      <c r="O211">
        <v>0.82528897199999995</v>
      </c>
      <c r="P211">
        <v>104.6250391</v>
      </c>
      <c r="Q211">
        <v>5.2289909400000001</v>
      </c>
      <c r="R211">
        <v>4747154</v>
      </c>
      <c r="S211">
        <v>25552600</v>
      </c>
      <c r="T211">
        <v>27725.68</v>
      </c>
      <c r="U211">
        <v>25572.400000000001</v>
      </c>
      <c r="W211">
        <v>31755949.640000001</v>
      </c>
      <c r="X211">
        <v>42217428.399999999</v>
      </c>
      <c r="Y211">
        <v>4486.7</v>
      </c>
      <c r="Z211">
        <v>2165.5500000000002</v>
      </c>
      <c r="AA211">
        <v>917.75</v>
      </c>
      <c r="AB211">
        <v>437.53</v>
      </c>
      <c r="AC211">
        <v>57.36</v>
      </c>
      <c r="AD211">
        <v>8064.89</v>
      </c>
      <c r="AE211">
        <v>96127605</v>
      </c>
      <c r="AF211">
        <v>38166160</v>
      </c>
      <c r="AG211">
        <v>16493882</v>
      </c>
      <c r="AH211">
        <v>1171848</v>
      </c>
      <c r="AI211">
        <v>8051110</v>
      </c>
      <c r="AJ211">
        <v>160010605</v>
      </c>
      <c r="AK211">
        <v>629</v>
      </c>
      <c r="AL211">
        <v>252</v>
      </c>
      <c r="AM211">
        <v>4</v>
      </c>
      <c r="AN211">
        <v>303</v>
      </c>
      <c r="AO211">
        <v>109</v>
      </c>
      <c r="AP211">
        <v>1297</v>
      </c>
      <c r="AQ211">
        <v>12854295</v>
      </c>
      <c r="AR211">
        <v>6112287</v>
      </c>
      <c r="AS211">
        <v>129161</v>
      </c>
      <c r="AT211">
        <v>4314001</v>
      </c>
      <c r="AU211">
        <v>2871435</v>
      </c>
      <c r="AV211">
        <v>26281179</v>
      </c>
      <c r="AW211">
        <v>9.7200000000000006</v>
      </c>
      <c r="AX211">
        <v>7.99</v>
      </c>
      <c r="AY211">
        <v>8.15</v>
      </c>
      <c r="AZ211">
        <v>1.21</v>
      </c>
      <c r="BA211">
        <v>9</v>
      </c>
      <c r="BB211">
        <v>9.27</v>
      </c>
      <c r="BC211">
        <v>11</v>
      </c>
      <c r="BD211">
        <v>14.65</v>
      </c>
      <c r="BE211">
        <v>6.46</v>
      </c>
      <c r="BF211">
        <v>9.19</v>
      </c>
      <c r="BG211">
        <v>0.55630000000000002</v>
      </c>
      <c r="BH211">
        <v>0.26850000000000002</v>
      </c>
      <c r="BI211">
        <v>0.1138</v>
      </c>
      <c r="BJ211">
        <v>5.4300000000000001E-2</v>
      </c>
      <c r="BK211">
        <v>0.48499999999999999</v>
      </c>
      <c r="BL211">
        <v>0.1943</v>
      </c>
      <c r="BM211">
        <v>3.0999999999999999E-3</v>
      </c>
      <c r="BN211">
        <v>0.2336</v>
      </c>
      <c r="BO211">
        <v>-1.1299999999999999</v>
      </c>
      <c r="BP211">
        <v>-1.73</v>
      </c>
      <c r="BQ211">
        <v>-1.57</v>
      </c>
      <c r="BR211">
        <v>-8.5</v>
      </c>
      <c r="BS211">
        <v>31754451.02</v>
      </c>
      <c r="BT211">
        <v>1501917.22</v>
      </c>
      <c r="BU211">
        <v>17.34</v>
      </c>
      <c r="BV211">
        <v>3981056.5</v>
      </c>
      <c r="BW211">
        <v>14.87</v>
      </c>
      <c r="BX211">
        <v>101562.4342</v>
      </c>
      <c r="BY211">
        <v>8.1974896220000009</v>
      </c>
      <c r="BZ211" s="5">
        <v>2911087.5</v>
      </c>
      <c r="CA211" s="5">
        <v>8.93</v>
      </c>
      <c r="CB211" s="5">
        <v>1563085.33</v>
      </c>
      <c r="CC211" s="5">
        <v>9.58</v>
      </c>
    </row>
    <row r="212" spans="1:81" x14ac:dyDescent="0.2">
      <c r="A212" s="2">
        <v>44743</v>
      </c>
      <c r="B212">
        <v>2022</v>
      </c>
      <c r="C212">
        <v>7</v>
      </c>
      <c r="E212">
        <v>8.0500000000000007</v>
      </c>
      <c r="F212">
        <v>19.47</v>
      </c>
      <c r="G212">
        <v>29.81</v>
      </c>
      <c r="J212">
        <v>3.6448</v>
      </c>
      <c r="K212">
        <v>1.2936000000000001</v>
      </c>
      <c r="L212">
        <v>1.0167999999999999</v>
      </c>
      <c r="M212">
        <v>136.709</v>
      </c>
      <c r="N212">
        <v>6.7351999999999999</v>
      </c>
      <c r="O212">
        <v>0.78602349999999999</v>
      </c>
      <c r="P212">
        <v>105.68104510000001</v>
      </c>
      <c r="Q212">
        <v>5.2065553490000003</v>
      </c>
      <c r="R212">
        <v>19175769</v>
      </c>
      <c r="S212">
        <v>69891932</v>
      </c>
      <c r="T212">
        <v>12337.54</v>
      </c>
      <c r="U212">
        <v>3639.55</v>
      </c>
      <c r="W212">
        <v>35385612.25</v>
      </c>
      <c r="X212">
        <v>42266617.600000001</v>
      </c>
      <c r="Y212">
        <v>1500.53</v>
      </c>
      <c r="Z212">
        <v>2239.9499999999998</v>
      </c>
      <c r="AA212">
        <v>769.71</v>
      </c>
      <c r="AB212">
        <v>292.48</v>
      </c>
      <c r="AC212">
        <v>54.54</v>
      </c>
      <c r="AD212">
        <v>4857.21</v>
      </c>
      <c r="AE212">
        <v>35020299</v>
      </c>
      <c r="AF212">
        <v>42402957</v>
      </c>
      <c r="AG212">
        <v>13796688</v>
      </c>
      <c r="AH212">
        <v>1252264</v>
      </c>
      <c r="AI212">
        <v>5505082</v>
      </c>
      <c r="AJ212">
        <v>97977290</v>
      </c>
      <c r="AK212">
        <v>619</v>
      </c>
      <c r="AL212">
        <v>302</v>
      </c>
      <c r="AM212">
        <v>3</v>
      </c>
      <c r="AN212">
        <v>3731</v>
      </c>
      <c r="AO212">
        <v>104</v>
      </c>
      <c r="AP212">
        <v>4759</v>
      </c>
      <c r="AQ212">
        <v>13642391</v>
      </c>
      <c r="AR212">
        <v>7329830</v>
      </c>
      <c r="AS212">
        <v>69070</v>
      </c>
      <c r="AT212">
        <v>37129313</v>
      </c>
      <c r="AU212">
        <v>2808878</v>
      </c>
      <c r="AV212">
        <v>60979482</v>
      </c>
      <c r="AW212">
        <v>10.59</v>
      </c>
      <c r="AX212">
        <v>8.59</v>
      </c>
      <c r="AY212">
        <v>8.1300000000000008</v>
      </c>
      <c r="AZ212">
        <v>1.94</v>
      </c>
      <c r="BA212">
        <v>9.15</v>
      </c>
      <c r="BB212">
        <v>10</v>
      </c>
      <c r="BC212">
        <v>11.01</v>
      </c>
      <c r="BD212">
        <v>10.44</v>
      </c>
      <c r="BE212">
        <v>4.51</v>
      </c>
      <c r="BF212">
        <v>5.81</v>
      </c>
      <c r="BG212">
        <v>0.30890000000000001</v>
      </c>
      <c r="BH212">
        <v>0.4612</v>
      </c>
      <c r="BI212">
        <v>0.1585</v>
      </c>
      <c r="BJ212">
        <v>6.0199999999999997E-2</v>
      </c>
      <c r="BK212">
        <v>0.13009999999999999</v>
      </c>
      <c r="BL212">
        <v>6.3500000000000001E-2</v>
      </c>
      <c r="BM212">
        <v>5.9999999999999995E-4</v>
      </c>
      <c r="BN212">
        <v>0.78400000000000003</v>
      </c>
      <c r="BO212">
        <v>-3.67</v>
      </c>
      <c r="BP212">
        <v>-2</v>
      </c>
      <c r="BQ212">
        <v>-2.46</v>
      </c>
      <c r="BR212">
        <v>-8.64</v>
      </c>
      <c r="BS212">
        <v>35386856.469999999</v>
      </c>
      <c r="BT212">
        <v>1654304.96</v>
      </c>
      <c r="BU212">
        <v>16.2</v>
      </c>
      <c r="BV212">
        <v>2245136.5099999998</v>
      </c>
      <c r="BW212">
        <v>13.28</v>
      </c>
      <c r="BX212">
        <v>331147.15169999999</v>
      </c>
      <c r="BY212">
        <v>8.8901111929999992</v>
      </c>
      <c r="BZ212" s="5">
        <v>2716705.76</v>
      </c>
      <c r="CA212" s="5">
        <v>9.6300000000000008</v>
      </c>
      <c r="CB212" s="5">
        <v>1427877.92</v>
      </c>
      <c r="CC212" s="5">
        <v>9.7100000000000009</v>
      </c>
    </row>
    <row r="213" spans="1:81" x14ac:dyDescent="0.2">
      <c r="A213" s="2">
        <v>44774</v>
      </c>
      <c r="B213">
        <v>2022</v>
      </c>
      <c r="C213">
        <v>8</v>
      </c>
      <c r="E213">
        <v>8.9600000000000009</v>
      </c>
      <c r="F213">
        <v>17.690000000000001</v>
      </c>
      <c r="G213">
        <v>26.72</v>
      </c>
      <c r="H213">
        <v>7</v>
      </c>
      <c r="I213">
        <v>7.5</v>
      </c>
      <c r="J213">
        <v>3.1796000000000002</v>
      </c>
      <c r="K213">
        <v>1.2917000000000001</v>
      </c>
      <c r="L213">
        <v>1.0128999999999999</v>
      </c>
      <c r="M213">
        <v>135.2835</v>
      </c>
      <c r="N213">
        <v>6.8007</v>
      </c>
      <c r="O213">
        <v>0.78416040899999995</v>
      </c>
      <c r="P213">
        <v>104.7329101</v>
      </c>
      <c r="Q213">
        <v>5.2649221959999997</v>
      </c>
      <c r="R213">
        <v>21068205</v>
      </c>
      <c r="S213">
        <v>66987648</v>
      </c>
      <c r="T213">
        <v>10407.39</v>
      </c>
      <c r="U213">
        <v>851</v>
      </c>
      <c r="W213">
        <v>23963486.809999999</v>
      </c>
      <c r="X213">
        <v>42315887</v>
      </c>
      <c r="Y213">
        <v>952.4</v>
      </c>
      <c r="Z213">
        <v>3301.95</v>
      </c>
      <c r="AA213">
        <v>549.16</v>
      </c>
      <c r="AB213">
        <v>410.67</v>
      </c>
      <c r="AC213">
        <v>68.67</v>
      </c>
      <c r="AD213">
        <v>5282.85</v>
      </c>
      <c r="AE213">
        <v>22527531</v>
      </c>
      <c r="AF213">
        <v>65644037</v>
      </c>
      <c r="AG213">
        <v>10086411</v>
      </c>
      <c r="AH213">
        <v>1271079</v>
      </c>
      <c r="AI213">
        <v>7899412</v>
      </c>
      <c r="AJ213">
        <v>107428470</v>
      </c>
      <c r="AK213">
        <v>878</v>
      </c>
      <c r="AL213">
        <v>474</v>
      </c>
      <c r="AM213">
        <v>3</v>
      </c>
      <c r="AN213">
        <v>4108</v>
      </c>
      <c r="AO213">
        <v>147</v>
      </c>
      <c r="AP213">
        <v>5610</v>
      </c>
      <c r="AQ213">
        <v>19561353</v>
      </c>
      <c r="AR213">
        <v>11302638</v>
      </c>
      <c r="AS213">
        <v>97390</v>
      </c>
      <c r="AT213">
        <v>38790571</v>
      </c>
      <c r="AU213">
        <v>3709665</v>
      </c>
      <c r="AV213">
        <v>73461617</v>
      </c>
      <c r="AW213">
        <v>10.73</v>
      </c>
      <c r="AX213">
        <v>9.02</v>
      </c>
      <c r="AY213">
        <v>8.33</v>
      </c>
      <c r="AZ213">
        <v>1.4</v>
      </c>
      <c r="BA213">
        <v>9.2200000000000006</v>
      </c>
      <c r="BB213">
        <v>10.11</v>
      </c>
      <c r="BC213">
        <v>10.82</v>
      </c>
      <c r="BD213">
        <v>14.73</v>
      </c>
      <c r="BE213">
        <v>4.28</v>
      </c>
      <c r="BF213">
        <v>5.94</v>
      </c>
      <c r="BG213">
        <v>0.18029999999999999</v>
      </c>
      <c r="BH213">
        <v>0.625</v>
      </c>
      <c r="BI213">
        <v>0.104</v>
      </c>
      <c r="BJ213">
        <v>7.7700000000000005E-2</v>
      </c>
      <c r="BK213">
        <v>0.1565</v>
      </c>
      <c r="BL213">
        <v>8.4500000000000006E-2</v>
      </c>
      <c r="BM213">
        <v>5.0000000000000001E-4</v>
      </c>
      <c r="BN213">
        <v>0.73229999999999995</v>
      </c>
      <c r="BO213">
        <v>-4.0199999999999996</v>
      </c>
      <c r="BP213">
        <v>-1.71</v>
      </c>
      <c r="BQ213">
        <v>-2.4</v>
      </c>
      <c r="BR213">
        <v>-9.33</v>
      </c>
      <c r="BS213">
        <v>23963756.309999999</v>
      </c>
      <c r="BT213">
        <v>4224.05</v>
      </c>
      <c r="BU213">
        <v>3.88</v>
      </c>
      <c r="BV213">
        <v>32670.26</v>
      </c>
      <c r="BW213">
        <v>6.33</v>
      </c>
      <c r="BX213">
        <v>339149.92229999998</v>
      </c>
      <c r="BY213">
        <v>8.9466480760000007</v>
      </c>
      <c r="BZ213" s="5">
        <v>1306844.04</v>
      </c>
      <c r="CA213" s="5">
        <v>11.02</v>
      </c>
      <c r="CB213" s="5">
        <v>809302.19</v>
      </c>
      <c r="CC213" s="5">
        <v>9.15</v>
      </c>
    </row>
    <row r="214" spans="1:81" x14ac:dyDescent="0.2">
      <c r="A214" s="2">
        <v>44805</v>
      </c>
      <c r="B214">
        <v>2022</v>
      </c>
      <c r="C214">
        <v>9</v>
      </c>
      <c r="E214">
        <v>9.94</v>
      </c>
      <c r="F214">
        <v>16.75</v>
      </c>
      <c r="G214">
        <v>24.75</v>
      </c>
      <c r="H214">
        <v>7</v>
      </c>
      <c r="I214">
        <v>7.5</v>
      </c>
      <c r="J214">
        <v>3.7073999999999998</v>
      </c>
      <c r="K214">
        <v>1.3339000000000001</v>
      </c>
      <c r="L214">
        <v>0.9899</v>
      </c>
      <c r="M214">
        <v>143.2843</v>
      </c>
      <c r="N214">
        <v>7.0194999999999999</v>
      </c>
      <c r="O214">
        <v>0.74210960299999995</v>
      </c>
      <c r="P214">
        <v>107.41757250000001</v>
      </c>
      <c r="Q214">
        <v>5.2623884849999998</v>
      </c>
      <c r="R214">
        <v>16179496</v>
      </c>
      <c r="S214">
        <v>59983407</v>
      </c>
      <c r="T214">
        <v>8189.9</v>
      </c>
      <c r="U214">
        <v>851</v>
      </c>
      <c r="W214">
        <v>12777355.449999999</v>
      </c>
      <c r="X214">
        <v>42365236.899999999</v>
      </c>
      <c r="Y214">
        <v>704.2</v>
      </c>
      <c r="Z214">
        <v>2791.38</v>
      </c>
      <c r="AA214">
        <v>452.29</v>
      </c>
      <c r="AB214">
        <v>300.52</v>
      </c>
      <c r="AC214">
        <v>86.54</v>
      </c>
      <c r="AD214">
        <v>4334.93</v>
      </c>
      <c r="AE214">
        <v>17153609</v>
      </c>
      <c r="AF214">
        <v>51903403</v>
      </c>
      <c r="AG214">
        <v>7472595</v>
      </c>
      <c r="AH214">
        <v>1175822</v>
      </c>
      <c r="AI214">
        <v>5459496</v>
      </c>
      <c r="AJ214">
        <v>83164925</v>
      </c>
      <c r="AK214">
        <v>835</v>
      </c>
      <c r="AL214">
        <v>300</v>
      </c>
      <c r="AM214">
        <v>3</v>
      </c>
      <c r="AN214">
        <v>2800</v>
      </c>
      <c r="AO214">
        <v>132</v>
      </c>
      <c r="AP214">
        <v>4070</v>
      </c>
      <c r="AQ214">
        <v>18624349</v>
      </c>
      <c r="AR214">
        <v>7607297</v>
      </c>
      <c r="AS214">
        <v>71324</v>
      </c>
      <c r="AT214">
        <v>28572058</v>
      </c>
      <c r="AU214">
        <v>3513178</v>
      </c>
      <c r="AV214">
        <v>58388206</v>
      </c>
      <c r="AW214">
        <v>11.05</v>
      </c>
      <c r="AX214">
        <v>8.43</v>
      </c>
      <c r="AY214">
        <v>7.49</v>
      </c>
      <c r="AZ214">
        <v>1.77</v>
      </c>
      <c r="BA214">
        <v>8.6999999999999993</v>
      </c>
      <c r="BB214">
        <v>10.119999999999999</v>
      </c>
      <c r="BC214">
        <v>11.5</v>
      </c>
      <c r="BD214">
        <v>10.78</v>
      </c>
      <c r="BE214">
        <v>4.63</v>
      </c>
      <c r="BF214">
        <v>6.51</v>
      </c>
      <c r="BG214">
        <v>0.16239999999999999</v>
      </c>
      <c r="BH214">
        <v>0.64390000000000003</v>
      </c>
      <c r="BI214">
        <v>0.1043</v>
      </c>
      <c r="BJ214">
        <v>6.93E-2</v>
      </c>
      <c r="BK214">
        <v>0.20519999999999999</v>
      </c>
      <c r="BL214">
        <v>7.3700000000000002E-2</v>
      </c>
      <c r="BM214">
        <v>6.9999999999999999E-4</v>
      </c>
      <c r="BN214">
        <v>0.68799999999999994</v>
      </c>
      <c r="BO214">
        <v>-3.65</v>
      </c>
      <c r="BP214">
        <v>-2.62</v>
      </c>
      <c r="BQ214">
        <v>-3.55</v>
      </c>
      <c r="BR214">
        <v>-9.27</v>
      </c>
      <c r="BS214">
        <v>12777656.93</v>
      </c>
      <c r="BT214">
        <v>198949.32</v>
      </c>
      <c r="BU214">
        <v>3.46</v>
      </c>
      <c r="BV214">
        <v>533240.26</v>
      </c>
      <c r="BW214">
        <v>14.28</v>
      </c>
      <c r="BX214">
        <v>212035.9424</v>
      </c>
      <c r="BY214">
        <v>8.0964480870000006</v>
      </c>
      <c r="BZ214" s="5">
        <v>1284403.1599999999</v>
      </c>
      <c r="CA214" s="5">
        <v>9.74</v>
      </c>
      <c r="CB214" s="5">
        <v>526294.56000000006</v>
      </c>
      <c r="CC214" s="5">
        <v>9.24</v>
      </c>
    </row>
    <row r="215" spans="1:81" x14ac:dyDescent="0.2">
      <c r="A215" s="2">
        <v>44835</v>
      </c>
      <c r="B215">
        <v>2022</v>
      </c>
      <c r="C215">
        <v>10</v>
      </c>
      <c r="E215">
        <v>9.09</v>
      </c>
      <c r="F215">
        <v>16.75</v>
      </c>
      <c r="G215">
        <v>24.75</v>
      </c>
      <c r="I215">
        <v>9</v>
      </c>
      <c r="J215">
        <v>3.7261000000000002</v>
      </c>
      <c r="K215">
        <v>1.3689</v>
      </c>
      <c r="L215">
        <v>0.98529999999999995</v>
      </c>
      <c r="M215">
        <v>147.0515</v>
      </c>
      <c r="N215">
        <v>7.1901999999999999</v>
      </c>
      <c r="O215">
        <v>0.719775002</v>
      </c>
      <c r="P215">
        <v>107.42311340000001</v>
      </c>
      <c r="Q215">
        <v>5.2525385350000002</v>
      </c>
      <c r="R215">
        <v>16160636</v>
      </c>
      <c r="S215">
        <v>60215496</v>
      </c>
      <c r="T215">
        <v>8674.75</v>
      </c>
      <c r="U215">
        <v>1344.4</v>
      </c>
      <c r="W215">
        <v>5492699.4280000003</v>
      </c>
      <c r="X215">
        <v>42414667.399999999</v>
      </c>
      <c r="Y215">
        <v>495.11</v>
      </c>
      <c r="Z215">
        <v>1528.84</v>
      </c>
      <c r="AA215">
        <v>500.1</v>
      </c>
      <c r="AB215">
        <v>296.68</v>
      </c>
      <c r="AC215">
        <v>101.62</v>
      </c>
      <c r="AD215">
        <v>2922.35</v>
      </c>
      <c r="AE215">
        <v>10780265</v>
      </c>
      <c r="AF215">
        <v>27394112</v>
      </c>
      <c r="AG215">
        <v>8756991</v>
      </c>
      <c r="AH215">
        <v>1370283</v>
      </c>
      <c r="AI215">
        <v>5639640</v>
      </c>
      <c r="AJ215">
        <v>53941291</v>
      </c>
      <c r="AK215">
        <v>810</v>
      </c>
      <c r="AL215">
        <v>301</v>
      </c>
      <c r="AM215">
        <v>5</v>
      </c>
      <c r="AN215">
        <v>3677</v>
      </c>
      <c r="AO215">
        <v>155</v>
      </c>
      <c r="AP215">
        <v>4948</v>
      </c>
      <c r="AQ215">
        <v>16833162</v>
      </c>
      <c r="AR215">
        <v>7053333</v>
      </c>
      <c r="AS215">
        <v>127783</v>
      </c>
      <c r="AT215">
        <v>40094741</v>
      </c>
      <c r="AU215">
        <v>3971132</v>
      </c>
      <c r="AV215">
        <v>68080151</v>
      </c>
      <c r="AW215">
        <v>9.8800000000000008</v>
      </c>
      <c r="AX215">
        <v>8.1300000000000008</v>
      </c>
      <c r="AY215">
        <v>7.94</v>
      </c>
      <c r="AZ215">
        <v>2.1</v>
      </c>
      <c r="BA215">
        <v>8.3699999999999992</v>
      </c>
      <c r="BB215">
        <v>9.43</v>
      </c>
      <c r="BC215">
        <v>10.63</v>
      </c>
      <c r="BD215">
        <v>11.59</v>
      </c>
      <c r="BE215">
        <v>4.95</v>
      </c>
      <c r="BF215">
        <v>6.24</v>
      </c>
      <c r="BG215">
        <v>0.1694</v>
      </c>
      <c r="BH215">
        <v>0.5232</v>
      </c>
      <c r="BI215">
        <v>0.1711</v>
      </c>
      <c r="BJ215">
        <v>0.10150000000000001</v>
      </c>
      <c r="BK215">
        <v>0.16370000000000001</v>
      </c>
      <c r="BL215">
        <v>6.08E-2</v>
      </c>
      <c r="BM215">
        <v>1E-3</v>
      </c>
      <c r="BN215">
        <v>0.74309999999999998</v>
      </c>
      <c r="BO215">
        <v>-2.27</v>
      </c>
      <c r="BP215">
        <v>-1.75</v>
      </c>
      <c r="BQ215">
        <v>-1.93</v>
      </c>
      <c r="BR215">
        <v>-7.78</v>
      </c>
      <c r="BS215">
        <v>5493709.301</v>
      </c>
      <c r="BT215">
        <v>2796838.25</v>
      </c>
      <c r="BU215">
        <v>16.63</v>
      </c>
      <c r="BV215">
        <v>366513.67</v>
      </c>
      <c r="BW215">
        <v>14.95</v>
      </c>
      <c r="BX215">
        <v>214432.36429999999</v>
      </c>
      <c r="BY215">
        <v>8.1425861519999998</v>
      </c>
      <c r="BZ215" s="5">
        <v>564875.48</v>
      </c>
      <c r="CA215" s="5">
        <v>9.51</v>
      </c>
      <c r="CB215" s="5">
        <v>423395.92</v>
      </c>
      <c r="CC215" s="5">
        <v>8.06</v>
      </c>
    </row>
    <row r="216" spans="1:81" x14ac:dyDescent="0.2">
      <c r="A216" s="2">
        <v>44866</v>
      </c>
      <c r="B216">
        <v>2022</v>
      </c>
      <c r="C216">
        <v>11</v>
      </c>
      <c r="E216">
        <v>8.33</v>
      </c>
      <c r="F216">
        <v>16.75</v>
      </c>
      <c r="G216">
        <v>24.58</v>
      </c>
      <c r="I216">
        <v>9.9</v>
      </c>
      <c r="J216">
        <v>3.7583000000000002</v>
      </c>
      <c r="K216">
        <v>1.3456999999999999</v>
      </c>
      <c r="L216">
        <v>1.0192000000000001</v>
      </c>
      <c r="M216">
        <v>142.44499999999999</v>
      </c>
      <c r="N216">
        <v>7.1811999999999996</v>
      </c>
      <c r="O216">
        <v>0.75737534399999995</v>
      </c>
      <c r="P216">
        <v>105.851973</v>
      </c>
      <c r="Q216">
        <v>5.3364048449999997</v>
      </c>
      <c r="R216">
        <v>11024016</v>
      </c>
      <c r="S216">
        <v>41431341</v>
      </c>
      <c r="T216">
        <v>7069.72</v>
      </c>
      <c r="U216">
        <v>2069.3000000000002</v>
      </c>
      <c r="W216">
        <v>6947139.6519999998</v>
      </c>
      <c r="X216">
        <v>42464178.799999997</v>
      </c>
      <c r="Y216">
        <v>1088.44</v>
      </c>
      <c r="Z216">
        <v>1591.12</v>
      </c>
      <c r="AA216">
        <v>310.87</v>
      </c>
      <c r="AB216">
        <v>236.15</v>
      </c>
      <c r="AC216">
        <v>76.89</v>
      </c>
      <c r="AD216">
        <v>3303.47</v>
      </c>
      <c r="AE216">
        <v>21559537</v>
      </c>
      <c r="AF216">
        <v>27418761</v>
      </c>
      <c r="AG216">
        <v>5743140</v>
      </c>
      <c r="AH216">
        <v>1126273</v>
      </c>
      <c r="AI216">
        <v>4413483</v>
      </c>
      <c r="AJ216">
        <v>60261194</v>
      </c>
      <c r="AK216">
        <v>1079</v>
      </c>
      <c r="AL216">
        <v>426</v>
      </c>
      <c r="AM216">
        <v>6</v>
      </c>
      <c r="AN216">
        <v>2083</v>
      </c>
      <c r="AO216">
        <v>219</v>
      </c>
      <c r="AP216">
        <v>3813</v>
      </c>
      <c r="AQ216">
        <v>22963031</v>
      </c>
      <c r="AR216">
        <v>10309108</v>
      </c>
      <c r="AS216">
        <v>162467</v>
      </c>
      <c r="AT216">
        <v>22910012</v>
      </c>
      <c r="AU216">
        <v>5378437</v>
      </c>
      <c r="AV216">
        <v>61723055</v>
      </c>
      <c r="AW216">
        <v>8.98</v>
      </c>
      <c r="AX216">
        <v>7.82</v>
      </c>
      <c r="AY216">
        <v>8.3800000000000008</v>
      </c>
      <c r="AZ216">
        <v>2.16</v>
      </c>
      <c r="BA216">
        <v>8.27</v>
      </c>
      <c r="BB216">
        <v>9.65</v>
      </c>
      <c r="BC216">
        <v>10.98</v>
      </c>
      <c r="BD216">
        <v>12.28</v>
      </c>
      <c r="BE216">
        <v>4.99</v>
      </c>
      <c r="BF216">
        <v>7.34</v>
      </c>
      <c r="BG216">
        <v>0.32950000000000002</v>
      </c>
      <c r="BH216">
        <v>0.48170000000000002</v>
      </c>
      <c r="BI216">
        <v>9.4100000000000003E-2</v>
      </c>
      <c r="BJ216">
        <v>7.1499999999999994E-2</v>
      </c>
      <c r="BK216">
        <v>0.28299999999999997</v>
      </c>
      <c r="BL216">
        <v>0.11169999999999999</v>
      </c>
      <c r="BM216">
        <v>1.6000000000000001E-3</v>
      </c>
      <c r="BN216">
        <v>0.54630000000000001</v>
      </c>
      <c r="BO216">
        <v>-1.69</v>
      </c>
      <c r="BP216">
        <v>-1.1599999999999999</v>
      </c>
      <c r="BQ216">
        <v>-0.6</v>
      </c>
      <c r="BR216">
        <v>-6.82</v>
      </c>
      <c r="BS216">
        <v>6948683.7889999999</v>
      </c>
      <c r="BT216">
        <v>3004588.41</v>
      </c>
      <c r="BU216">
        <v>15.72</v>
      </c>
      <c r="BV216">
        <v>342265.05</v>
      </c>
      <c r="BW216">
        <v>12.99</v>
      </c>
      <c r="BX216">
        <v>247190.81289999999</v>
      </c>
      <c r="BY216">
        <v>8.4940656800000003</v>
      </c>
      <c r="BZ216" s="5">
        <v>307752.34000000003</v>
      </c>
      <c r="CA216" s="5">
        <v>6.93</v>
      </c>
      <c r="CB216" s="5">
        <v>389330.06</v>
      </c>
      <c r="CC216" s="5">
        <v>10.01</v>
      </c>
    </row>
    <row r="217" spans="1:81" x14ac:dyDescent="0.2">
      <c r="A217" s="2">
        <v>44896</v>
      </c>
      <c r="B217">
        <v>2022</v>
      </c>
      <c r="C217">
        <v>12</v>
      </c>
      <c r="E217">
        <v>8.5</v>
      </c>
      <c r="F217">
        <v>16.75</v>
      </c>
      <c r="G217">
        <v>24.25</v>
      </c>
      <c r="I217">
        <v>9.1300000000000008</v>
      </c>
      <c r="J217">
        <v>4.3756000000000004</v>
      </c>
      <c r="K217">
        <v>1.3585</v>
      </c>
      <c r="L217">
        <v>1.0590999999999999</v>
      </c>
      <c r="M217">
        <v>134.91480000000001</v>
      </c>
      <c r="N217">
        <v>6.9717000000000002</v>
      </c>
      <c r="O217">
        <v>0.77960986399999999</v>
      </c>
      <c r="P217">
        <v>99.311593669999993</v>
      </c>
      <c r="Q217">
        <v>5.1319101949999997</v>
      </c>
      <c r="R217">
        <v>4819828</v>
      </c>
      <c r="S217">
        <v>21089582</v>
      </c>
      <c r="T217">
        <v>18374.439999999999</v>
      </c>
      <c r="U217">
        <v>16188.2</v>
      </c>
      <c r="W217">
        <v>32191427.48</v>
      </c>
      <c r="X217">
        <v>42513771.100000001</v>
      </c>
      <c r="Y217">
        <v>3168</v>
      </c>
      <c r="Z217">
        <v>2179.5100000000002</v>
      </c>
      <c r="AA217">
        <v>1390.78</v>
      </c>
      <c r="AB217">
        <v>492.99</v>
      </c>
      <c r="AC217">
        <v>164.38</v>
      </c>
      <c r="AD217">
        <v>7395.66</v>
      </c>
      <c r="AE217">
        <v>68133469</v>
      </c>
      <c r="AF217">
        <v>37346854</v>
      </c>
      <c r="AG217">
        <v>26470433</v>
      </c>
      <c r="AH217">
        <v>2033697</v>
      </c>
      <c r="AI217">
        <v>9473635</v>
      </c>
      <c r="AJ217">
        <v>143458088</v>
      </c>
      <c r="AK217">
        <v>502</v>
      </c>
      <c r="AL217">
        <v>892</v>
      </c>
      <c r="AM217">
        <v>10</v>
      </c>
      <c r="AN217">
        <v>478</v>
      </c>
      <c r="AO217">
        <v>242</v>
      </c>
      <c r="AP217">
        <v>2124</v>
      </c>
      <c r="AQ217">
        <v>10775860</v>
      </c>
      <c r="AR217">
        <v>21913757</v>
      </c>
      <c r="AS217">
        <v>309888</v>
      </c>
      <c r="AT217">
        <v>5723681</v>
      </c>
      <c r="AU217">
        <v>5954025</v>
      </c>
      <c r="AV217">
        <v>44677211</v>
      </c>
      <c r="AW217">
        <v>9.76</v>
      </c>
      <c r="AX217">
        <v>7.77</v>
      </c>
      <c r="AY217">
        <v>8.6300000000000008</v>
      </c>
      <c r="AZ217">
        <v>1.87</v>
      </c>
      <c r="BA217">
        <v>8.8000000000000007</v>
      </c>
      <c r="BB217">
        <v>9.74</v>
      </c>
      <c r="BC217">
        <v>11.14</v>
      </c>
      <c r="BD217">
        <v>14.06</v>
      </c>
      <c r="BE217">
        <v>5.43</v>
      </c>
      <c r="BF217">
        <v>9.5399999999999991</v>
      </c>
      <c r="BG217">
        <v>0.4284</v>
      </c>
      <c r="BH217">
        <v>0.29470000000000002</v>
      </c>
      <c r="BI217">
        <v>0.18809999999999999</v>
      </c>
      <c r="BJ217">
        <v>6.6699999999999995E-2</v>
      </c>
      <c r="BK217">
        <v>0.23630000000000001</v>
      </c>
      <c r="BL217">
        <v>0.42</v>
      </c>
      <c r="BM217">
        <v>4.7000000000000002E-3</v>
      </c>
      <c r="BN217">
        <v>0.22500000000000001</v>
      </c>
      <c r="BO217">
        <v>-1.75</v>
      </c>
      <c r="BP217">
        <v>-1.99</v>
      </c>
      <c r="BQ217">
        <v>-1.1200000000000001</v>
      </c>
      <c r="BR217">
        <v>-7.88</v>
      </c>
      <c r="BS217">
        <v>32191913.039999999</v>
      </c>
      <c r="BT217">
        <v>8800.84</v>
      </c>
      <c r="BU217">
        <v>2</v>
      </c>
      <c r="BV217">
        <v>620507.93999999994</v>
      </c>
      <c r="BW217">
        <v>10.029999999999999</v>
      </c>
      <c r="BX217">
        <v>70062.823600000003</v>
      </c>
      <c r="BY217">
        <v>6.3936618159999998</v>
      </c>
      <c r="BZ217" s="5">
        <v>136783.72</v>
      </c>
      <c r="CA217" s="5">
        <v>9.27</v>
      </c>
      <c r="CB217" s="5">
        <v>47372.97</v>
      </c>
      <c r="CC217" s="5">
        <v>7.6</v>
      </c>
    </row>
    <row r="218" spans="1:81" x14ac:dyDescent="0.2">
      <c r="A218" s="2">
        <v>44927</v>
      </c>
      <c r="B218">
        <v>2023</v>
      </c>
      <c r="C218">
        <v>1</v>
      </c>
      <c r="E218">
        <v>8.67</v>
      </c>
      <c r="F218">
        <v>17.079999999999998</v>
      </c>
      <c r="G218">
        <v>23.42</v>
      </c>
      <c r="I218">
        <v>13</v>
      </c>
      <c r="J218">
        <v>4.6695000000000002</v>
      </c>
      <c r="K218">
        <v>1.3422000000000001</v>
      </c>
      <c r="L218">
        <v>1.0777000000000001</v>
      </c>
      <c r="M218">
        <v>130.44749999999999</v>
      </c>
      <c r="N218">
        <v>6.7904</v>
      </c>
      <c r="O218">
        <v>0.80293547899999995</v>
      </c>
      <c r="P218">
        <v>97.189316050000002</v>
      </c>
      <c r="Q218">
        <v>5.0591566090000004</v>
      </c>
      <c r="R218">
        <v>2135071</v>
      </c>
      <c r="S218">
        <v>9969664</v>
      </c>
      <c r="T218">
        <v>7266.8</v>
      </c>
      <c r="U218">
        <v>6298.35</v>
      </c>
      <c r="W218">
        <v>25831754.530000001</v>
      </c>
      <c r="X218">
        <v>42563444.600000001</v>
      </c>
      <c r="Y218">
        <v>2551.36</v>
      </c>
      <c r="Z218">
        <v>4399.99</v>
      </c>
      <c r="AA218">
        <v>349.21</v>
      </c>
      <c r="AB218">
        <v>359.2</v>
      </c>
      <c r="AC218">
        <v>77.75</v>
      </c>
      <c r="AD218">
        <v>7737.51</v>
      </c>
      <c r="AE218">
        <v>57887144</v>
      </c>
      <c r="AF218">
        <v>76711396</v>
      </c>
      <c r="AG218">
        <v>6412747</v>
      </c>
      <c r="AH218">
        <v>924881</v>
      </c>
      <c r="AI218">
        <v>6871175</v>
      </c>
      <c r="AJ218">
        <v>148807343</v>
      </c>
      <c r="AK218">
        <v>1335</v>
      </c>
      <c r="AL218">
        <v>258</v>
      </c>
      <c r="AM218">
        <v>3</v>
      </c>
      <c r="AN218">
        <v>107</v>
      </c>
      <c r="AO218">
        <v>206</v>
      </c>
      <c r="AP218">
        <v>1909</v>
      </c>
      <c r="AQ218">
        <v>27822443</v>
      </c>
      <c r="AR218">
        <v>6187621</v>
      </c>
      <c r="AS218">
        <v>83534</v>
      </c>
      <c r="AT218">
        <v>1258910</v>
      </c>
      <c r="AU218">
        <v>4506674</v>
      </c>
      <c r="AV218">
        <v>39859182</v>
      </c>
      <c r="AW218">
        <v>10.29</v>
      </c>
      <c r="AX218">
        <v>7.91</v>
      </c>
      <c r="AY218">
        <v>8.33</v>
      </c>
      <c r="AZ218">
        <v>1.17</v>
      </c>
      <c r="BA218">
        <v>8.7200000000000006</v>
      </c>
      <c r="BB218">
        <v>9.4499999999999993</v>
      </c>
      <c r="BC218">
        <v>10.88</v>
      </c>
      <c r="BD218">
        <v>12.63</v>
      </c>
      <c r="BE218">
        <v>5.34</v>
      </c>
      <c r="BF218">
        <v>9.4700000000000006</v>
      </c>
      <c r="BG218">
        <v>0.32969999999999999</v>
      </c>
      <c r="BH218">
        <v>0.56869999999999998</v>
      </c>
      <c r="BI218">
        <v>4.5100000000000001E-2</v>
      </c>
      <c r="BJ218">
        <v>4.6399999999999997E-2</v>
      </c>
      <c r="BK218">
        <v>0.69930000000000003</v>
      </c>
      <c r="BL218">
        <v>0.1351</v>
      </c>
      <c r="BM218">
        <v>1.6000000000000001E-3</v>
      </c>
      <c r="BN218">
        <v>5.6099999999999997E-2</v>
      </c>
      <c r="BO218">
        <v>-2.33</v>
      </c>
      <c r="BP218">
        <v>-2.38</v>
      </c>
      <c r="BQ218">
        <v>-1.96</v>
      </c>
      <c r="BR218">
        <v>-9.1199999999999992</v>
      </c>
      <c r="BS218">
        <v>25832878.5</v>
      </c>
      <c r="BT218">
        <v>230323.27</v>
      </c>
      <c r="BU218">
        <v>3.22</v>
      </c>
      <c r="BV218">
        <v>1796.77</v>
      </c>
      <c r="BW218">
        <v>8.1999999999999993</v>
      </c>
      <c r="BX218">
        <v>1752.6729</v>
      </c>
      <c r="BY218">
        <v>26.206259020000001</v>
      </c>
      <c r="BZ218" s="5">
        <v>178658.35</v>
      </c>
      <c r="CA218" s="5">
        <v>8.67</v>
      </c>
      <c r="CB218" s="5">
        <v>105949.84</v>
      </c>
      <c r="CC218" s="5">
        <v>8.56</v>
      </c>
    </row>
    <row r="219" spans="1:81" x14ac:dyDescent="0.2">
      <c r="A219" s="2">
        <v>44958</v>
      </c>
      <c r="B219">
        <v>2023</v>
      </c>
      <c r="C219">
        <v>2</v>
      </c>
      <c r="E219">
        <v>11.24</v>
      </c>
      <c r="F219">
        <v>19</v>
      </c>
      <c r="G219">
        <v>23.28</v>
      </c>
      <c r="I219">
        <v>15.5</v>
      </c>
      <c r="J219">
        <v>7.6105</v>
      </c>
      <c r="K219">
        <v>1.3453999999999999</v>
      </c>
      <c r="L219">
        <v>1.0702</v>
      </c>
      <c r="M219">
        <v>133.0463</v>
      </c>
      <c r="N219">
        <v>6.8380000000000001</v>
      </c>
      <c r="O219">
        <v>0.79545116699999996</v>
      </c>
      <c r="P219">
        <v>98.889772559999997</v>
      </c>
      <c r="Q219">
        <v>5.0825033450000001</v>
      </c>
      <c r="R219">
        <v>1091901</v>
      </c>
      <c r="S219">
        <v>8309904</v>
      </c>
      <c r="T219">
        <v>604.08000000000004</v>
      </c>
      <c r="U219">
        <v>108.8</v>
      </c>
      <c r="W219">
        <v>18668842.66</v>
      </c>
      <c r="X219">
        <v>42613199.399999999</v>
      </c>
      <c r="Y219">
        <v>1505.76</v>
      </c>
      <c r="Z219">
        <v>2378.2800000000002</v>
      </c>
      <c r="AA219">
        <v>435.33</v>
      </c>
      <c r="AB219">
        <v>239.55</v>
      </c>
      <c r="AC219">
        <v>71.72</v>
      </c>
      <c r="AD219">
        <v>4630.6400000000003</v>
      </c>
      <c r="AE219">
        <v>41923286</v>
      </c>
      <c r="AF219">
        <v>42102502</v>
      </c>
      <c r="AG219">
        <v>7793629</v>
      </c>
      <c r="AH219">
        <v>1257575</v>
      </c>
      <c r="AI219">
        <v>4644710</v>
      </c>
      <c r="AJ219">
        <v>97721702</v>
      </c>
      <c r="AK219">
        <v>488</v>
      </c>
      <c r="AL219">
        <v>178</v>
      </c>
      <c r="AM219">
        <v>1</v>
      </c>
      <c r="AN219">
        <v>10</v>
      </c>
      <c r="AO219">
        <v>139</v>
      </c>
      <c r="AP219">
        <v>816</v>
      </c>
      <c r="AQ219">
        <v>9982830</v>
      </c>
      <c r="AR219">
        <v>4407699</v>
      </c>
      <c r="AS219">
        <v>34410</v>
      </c>
      <c r="AT219">
        <v>206653</v>
      </c>
      <c r="AU219">
        <v>3273458</v>
      </c>
      <c r="AV219">
        <v>17905050</v>
      </c>
      <c r="AW219">
        <v>12.63</v>
      </c>
      <c r="AX219">
        <v>8.0299999999999994</v>
      </c>
      <c r="AY219">
        <v>8.1199999999999992</v>
      </c>
      <c r="AZ219">
        <v>2.38</v>
      </c>
      <c r="BA219">
        <v>9.57</v>
      </c>
      <c r="BB219">
        <v>9.2799999999999994</v>
      </c>
      <c r="BC219">
        <v>11.23</v>
      </c>
      <c r="BD219">
        <v>15.61</v>
      </c>
      <c r="BE219">
        <v>9.3699999999999992</v>
      </c>
      <c r="BF219">
        <v>9.9499999999999993</v>
      </c>
      <c r="BG219">
        <v>0.32519999999999999</v>
      </c>
      <c r="BH219">
        <v>0.51359999999999995</v>
      </c>
      <c r="BI219">
        <v>9.4E-2</v>
      </c>
      <c r="BJ219">
        <v>5.1700000000000003E-2</v>
      </c>
      <c r="BK219">
        <v>0.59799999999999998</v>
      </c>
      <c r="BL219">
        <v>0.21809999999999999</v>
      </c>
      <c r="BM219">
        <v>1.1999999999999999E-3</v>
      </c>
      <c r="BN219">
        <v>1.23E-2</v>
      </c>
      <c r="BO219">
        <v>-0.01</v>
      </c>
      <c r="BP219">
        <v>-4.5999999999999996</v>
      </c>
      <c r="BQ219">
        <v>-4.51</v>
      </c>
      <c r="BR219">
        <v>-10.25</v>
      </c>
      <c r="BS219">
        <v>18668639.739999998</v>
      </c>
      <c r="BT219">
        <v>1835242.53</v>
      </c>
      <c r="BU219">
        <v>15.9</v>
      </c>
      <c r="BV219">
        <v>8050110.4100000001</v>
      </c>
      <c r="BW219">
        <v>11.82</v>
      </c>
      <c r="BX219">
        <v>102190.7509</v>
      </c>
      <c r="BY219">
        <v>6.5069685310000001</v>
      </c>
      <c r="BZ219" s="5">
        <v>297445.71999999997</v>
      </c>
      <c r="CA219" s="5">
        <v>9.4700000000000006</v>
      </c>
      <c r="CB219" s="5">
        <v>79487.73</v>
      </c>
      <c r="CC219" s="5">
        <v>4.32</v>
      </c>
    </row>
    <row r="220" spans="1:81" x14ac:dyDescent="0.2">
      <c r="A220" s="2">
        <v>44986</v>
      </c>
      <c r="B220">
        <v>2023</v>
      </c>
      <c r="C220">
        <v>3</v>
      </c>
      <c r="E220">
        <v>11.25</v>
      </c>
      <c r="F220">
        <v>20.89</v>
      </c>
      <c r="G220">
        <v>24.08</v>
      </c>
      <c r="J220">
        <v>8.5165000000000006</v>
      </c>
      <c r="K220">
        <v>1.3683000000000001</v>
      </c>
      <c r="L220">
        <v>1.0710999999999999</v>
      </c>
      <c r="M220">
        <v>133.6643</v>
      </c>
      <c r="N220">
        <v>6.8909000000000002</v>
      </c>
      <c r="O220">
        <v>0.78279617000000001</v>
      </c>
      <c r="P220">
        <v>97.686399179999995</v>
      </c>
      <c r="Q220">
        <v>5.0361031939999998</v>
      </c>
      <c r="R220">
        <v>854917</v>
      </c>
      <c r="S220">
        <v>7280943</v>
      </c>
      <c r="T220">
        <v>496.58</v>
      </c>
      <c r="U220">
        <v>108.8</v>
      </c>
      <c r="W220">
        <v>9855161.2469999995</v>
      </c>
      <c r="X220">
        <v>42663035.700000003</v>
      </c>
      <c r="Y220">
        <v>1159.9100000000001</v>
      </c>
      <c r="Z220">
        <v>3038.02</v>
      </c>
      <c r="AA220">
        <v>393.86</v>
      </c>
      <c r="AB220">
        <v>312.13</v>
      </c>
      <c r="AC220">
        <v>83.17</v>
      </c>
      <c r="AD220">
        <v>4987.09</v>
      </c>
      <c r="AE220">
        <v>34416571</v>
      </c>
      <c r="AF220">
        <v>57243580</v>
      </c>
      <c r="AG220">
        <v>7146064</v>
      </c>
      <c r="AH220">
        <v>1420029</v>
      </c>
      <c r="AI220">
        <v>6131205</v>
      </c>
      <c r="AJ220">
        <v>106357449</v>
      </c>
      <c r="AK220">
        <v>302</v>
      </c>
      <c r="AL220">
        <v>187</v>
      </c>
      <c r="AM220">
        <v>3</v>
      </c>
      <c r="AN220">
        <v>8</v>
      </c>
      <c r="AO220">
        <v>102</v>
      </c>
      <c r="AP220">
        <v>602</v>
      </c>
      <c r="AQ220">
        <v>6116292</v>
      </c>
      <c r="AR220">
        <v>4618926</v>
      </c>
      <c r="AS220">
        <v>82720</v>
      </c>
      <c r="AT220">
        <v>196802</v>
      </c>
      <c r="AU220">
        <v>2485650</v>
      </c>
      <c r="AV220">
        <v>13500390</v>
      </c>
      <c r="AW220">
        <v>13.46</v>
      </c>
      <c r="AX220">
        <v>8.5500000000000007</v>
      </c>
      <c r="AY220">
        <v>8.23</v>
      </c>
      <c r="AZ220">
        <v>2.06</v>
      </c>
      <c r="BA220">
        <v>9.67</v>
      </c>
      <c r="BB220">
        <v>9.19</v>
      </c>
      <c r="BC220">
        <v>11.2</v>
      </c>
      <c r="BD220">
        <v>12.51</v>
      </c>
      <c r="BE220">
        <v>11.16</v>
      </c>
      <c r="BF220">
        <v>10.17</v>
      </c>
      <c r="BG220">
        <v>0.2326</v>
      </c>
      <c r="BH220">
        <v>0.60919999999999996</v>
      </c>
      <c r="BI220">
        <v>7.9000000000000001E-2</v>
      </c>
      <c r="BJ220">
        <v>6.2600000000000003E-2</v>
      </c>
      <c r="BK220">
        <v>0.50170000000000003</v>
      </c>
      <c r="BL220">
        <v>0.31059999999999999</v>
      </c>
      <c r="BM220">
        <v>5.0000000000000001E-3</v>
      </c>
      <c r="BN220">
        <v>1.3299999999999999E-2</v>
      </c>
      <c r="BO220">
        <v>1.32</v>
      </c>
      <c r="BP220">
        <v>-4.91</v>
      </c>
      <c r="BQ220">
        <v>-5.23</v>
      </c>
      <c r="BR220">
        <v>-11.4</v>
      </c>
      <c r="BS220">
        <v>9853129.6740000006</v>
      </c>
      <c r="BT220">
        <v>2065565.8</v>
      </c>
      <c r="BU220">
        <v>14.48</v>
      </c>
      <c r="BV220">
        <v>327553.62</v>
      </c>
      <c r="BW220">
        <v>11.33</v>
      </c>
      <c r="BX220">
        <v>24927.638340000001</v>
      </c>
      <c r="BY220">
        <v>21.108257139999999</v>
      </c>
      <c r="BZ220" s="5">
        <v>92014.41</v>
      </c>
      <c r="CA220" s="5">
        <v>17.399999999999999</v>
      </c>
      <c r="CB220" s="5">
        <v>0</v>
      </c>
      <c r="CC220" s="5">
        <v>0</v>
      </c>
    </row>
    <row r="221" spans="1:81" x14ac:dyDescent="0.2">
      <c r="A221" s="2">
        <v>45017</v>
      </c>
      <c r="B221">
        <v>2023</v>
      </c>
      <c r="C221">
        <v>4</v>
      </c>
      <c r="E221">
        <v>13.71</v>
      </c>
      <c r="F221">
        <v>21.25</v>
      </c>
      <c r="G221">
        <v>24.25</v>
      </c>
      <c r="J221">
        <v>9.1180000000000003</v>
      </c>
      <c r="K221">
        <v>1.3484</v>
      </c>
      <c r="L221">
        <v>1.0962000000000001</v>
      </c>
      <c r="M221">
        <v>133.47450000000001</v>
      </c>
      <c r="N221">
        <v>6.8875999999999999</v>
      </c>
      <c r="O221">
        <v>0.81296351200000005</v>
      </c>
      <c r="P221">
        <v>98.987318299999998</v>
      </c>
      <c r="Q221">
        <v>5.1079798280000004</v>
      </c>
      <c r="R221">
        <v>1401412</v>
      </c>
      <c r="S221">
        <v>12778039</v>
      </c>
      <c r="T221">
        <v>1274.17</v>
      </c>
      <c r="U221">
        <v>638.5</v>
      </c>
      <c r="W221">
        <v>4220039.8260000004</v>
      </c>
      <c r="X221">
        <v>42712953.700000003</v>
      </c>
      <c r="Y221">
        <v>1134.74</v>
      </c>
      <c r="Z221">
        <v>1308.98</v>
      </c>
      <c r="AA221">
        <v>339.81</v>
      </c>
      <c r="AB221">
        <v>188.97</v>
      </c>
      <c r="AC221">
        <v>97.23</v>
      </c>
      <c r="AD221">
        <v>3069.73</v>
      </c>
      <c r="AE221">
        <v>35499174</v>
      </c>
      <c r="AF221">
        <v>25282428</v>
      </c>
      <c r="AG221">
        <v>6046716</v>
      </c>
      <c r="AH221">
        <v>1729325</v>
      </c>
      <c r="AI221">
        <v>3690294</v>
      </c>
      <c r="AJ221">
        <v>72247937</v>
      </c>
      <c r="AK221">
        <v>196</v>
      </c>
      <c r="AL221">
        <v>160</v>
      </c>
      <c r="AM221">
        <v>3</v>
      </c>
      <c r="AN221">
        <v>1</v>
      </c>
      <c r="AO221">
        <v>84</v>
      </c>
      <c r="AP221">
        <v>444</v>
      </c>
      <c r="AQ221">
        <v>4143529</v>
      </c>
      <c r="AR221">
        <v>4415075</v>
      </c>
      <c r="AS221">
        <v>82884</v>
      </c>
      <c r="AT221">
        <v>30791</v>
      </c>
      <c r="AU221">
        <v>2006267</v>
      </c>
      <c r="AV221">
        <v>10678546</v>
      </c>
      <c r="AW221">
        <v>14.19</v>
      </c>
      <c r="AX221">
        <v>8.76</v>
      </c>
      <c r="AY221">
        <v>8.07</v>
      </c>
      <c r="AZ221">
        <v>4.1500000000000004</v>
      </c>
      <c r="BA221">
        <v>10.68</v>
      </c>
      <c r="BB221">
        <v>9.59</v>
      </c>
      <c r="BC221">
        <v>12.52</v>
      </c>
      <c r="BD221">
        <v>12.53</v>
      </c>
      <c r="BE221">
        <v>13.97</v>
      </c>
      <c r="BF221">
        <v>10.91</v>
      </c>
      <c r="BG221">
        <v>0.36969999999999997</v>
      </c>
      <c r="BH221">
        <v>0.4264</v>
      </c>
      <c r="BI221">
        <v>0.11070000000000001</v>
      </c>
      <c r="BJ221">
        <v>6.1600000000000002E-2</v>
      </c>
      <c r="BK221">
        <v>0.44140000000000001</v>
      </c>
      <c r="BL221">
        <v>0.3604</v>
      </c>
      <c r="BM221">
        <v>6.7999999999999996E-3</v>
      </c>
      <c r="BN221">
        <v>2.3E-3</v>
      </c>
      <c r="BO221">
        <v>3.44</v>
      </c>
      <c r="BP221">
        <v>-5.43</v>
      </c>
      <c r="BQ221">
        <v>-6.12</v>
      </c>
      <c r="BR221">
        <v>-10.039999999999999</v>
      </c>
      <c r="BS221">
        <v>4220446.6160000004</v>
      </c>
      <c r="BT221">
        <v>353376.34</v>
      </c>
      <c r="BU221">
        <v>2.1800000000000002</v>
      </c>
      <c r="BV221">
        <v>2553697.33</v>
      </c>
      <c r="BW221">
        <v>14.11</v>
      </c>
      <c r="BX221">
        <v>36601.101240000004</v>
      </c>
      <c r="BY221">
        <v>7.1998653340000001</v>
      </c>
      <c r="BZ221" s="5">
        <v>34969.75</v>
      </c>
      <c r="CA221" s="5">
        <v>3.79</v>
      </c>
      <c r="CB221" s="5">
        <v>0</v>
      </c>
      <c r="CC221" s="5">
        <v>0</v>
      </c>
    </row>
    <row r="222" spans="1:81" x14ac:dyDescent="0.2">
      <c r="A222" s="2">
        <v>45047</v>
      </c>
      <c r="B222">
        <v>2023</v>
      </c>
      <c r="C222">
        <v>5</v>
      </c>
      <c r="E222">
        <v>7.94</v>
      </c>
      <c r="F222">
        <v>20.86</v>
      </c>
      <c r="G222">
        <v>24.22</v>
      </c>
      <c r="J222">
        <v>5.7649999999999997</v>
      </c>
      <c r="K222">
        <v>1.3516999999999999</v>
      </c>
      <c r="L222">
        <v>1.0867</v>
      </c>
      <c r="M222">
        <v>137.0532</v>
      </c>
      <c r="N222">
        <v>6.9854000000000003</v>
      </c>
      <c r="O222">
        <v>0.80395058100000005</v>
      </c>
      <c r="P222">
        <v>101.39320859999999</v>
      </c>
      <c r="Q222">
        <v>5.1678626909999998</v>
      </c>
      <c r="R222">
        <v>2498064</v>
      </c>
      <c r="S222">
        <v>14401239</v>
      </c>
      <c r="T222">
        <v>38659.050000000003</v>
      </c>
      <c r="U222">
        <v>37525.949999999997</v>
      </c>
      <c r="W222">
        <v>7359504.3150000004</v>
      </c>
      <c r="X222">
        <v>42762953.600000001</v>
      </c>
      <c r="Y222">
        <v>3323.28</v>
      </c>
      <c r="Z222">
        <v>3865.04</v>
      </c>
      <c r="AA222">
        <v>772.18</v>
      </c>
      <c r="AB222">
        <v>393.17</v>
      </c>
      <c r="AC222">
        <v>83.28</v>
      </c>
      <c r="AD222">
        <v>8436.9500000000007</v>
      </c>
      <c r="AE222">
        <v>74608417</v>
      </c>
      <c r="AF222">
        <v>67562175</v>
      </c>
      <c r="AG222">
        <v>14015456</v>
      </c>
      <c r="AH222">
        <v>1083900</v>
      </c>
      <c r="AI222">
        <v>7566776</v>
      </c>
      <c r="AJ222">
        <v>164836724</v>
      </c>
      <c r="AK222">
        <v>314</v>
      </c>
      <c r="AL222">
        <v>233</v>
      </c>
      <c r="AM222">
        <v>3</v>
      </c>
      <c r="AN222">
        <v>6</v>
      </c>
      <c r="AO222">
        <v>125</v>
      </c>
      <c r="AP222">
        <v>681</v>
      </c>
      <c r="AQ222">
        <v>6413063</v>
      </c>
      <c r="AR222">
        <v>5498997</v>
      </c>
      <c r="AS222">
        <v>71456</v>
      </c>
      <c r="AT222">
        <v>103522</v>
      </c>
      <c r="AU222">
        <v>3082222</v>
      </c>
      <c r="AV222">
        <v>15169260</v>
      </c>
      <c r="AW222">
        <v>10.18</v>
      </c>
      <c r="AX222">
        <v>7.93</v>
      </c>
      <c r="AY222">
        <v>8.23</v>
      </c>
      <c r="AZ222">
        <v>1.25</v>
      </c>
      <c r="BA222">
        <v>8.86</v>
      </c>
      <c r="BB222">
        <v>9.26</v>
      </c>
      <c r="BC222">
        <v>10.71</v>
      </c>
      <c r="BD222">
        <v>10.8</v>
      </c>
      <c r="BE222">
        <v>7.83</v>
      </c>
      <c r="BF222">
        <v>10.1</v>
      </c>
      <c r="BG222">
        <v>0.39389999999999997</v>
      </c>
      <c r="BH222">
        <v>0.45810000000000001</v>
      </c>
      <c r="BI222">
        <v>9.1499999999999998E-2</v>
      </c>
      <c r="BJ222">
        <v>4.6600000000000003E-2</v>
      </c>
      <c r="BK222">
        <v>0.46110000000000001</v>
      </c>
      <c r="BL222">
        <v>0.34210000000000002</v>
      </c>
      <c r="BM222">
        <v>4.4000000000000003E-3</v>
      </c>
      <c r="BN222">
        <v>8.8000000000000005E-3</v>
      </c>
      <c r="BO222">
        <v>0.28999999999999998</v>
      </c>
      <c r="BP222">
        <v>-2.25</v>
      </c>
      <c r="BQ222">
        <v>-1.95</v>
      </c>
      <c r="BR222">
        <v>-8.93</v>
      </c>
      <c r="BS222">
        <v>7357944.4850000003</v>
      </c>
      <c r="BT222">
        <v>2138349.12</v>
      </c>
      <c r="BU222">
        <v>16.43</v>
      </c>
      <c r="BV222">
        <v>36241.75</v>
      </c>
      <c r="BW222">
        <v>13.56</v>
      </c>
      <c r="BX222">
        <v>35273.919999999998</v>
      </c>
      <c r="BY222">
        <v>6.924521006</v>
      </c>
      <c r="BZ222" s="5">
        <v>202406.57</v>
      </c>
      <c r="CA222" s="5">
        <v>7.28</v>
      </c>
      <c r="CB222" s="5">
        <v>87871.92</v>
      </c>
      <c r="CC222" s="5">
        <v>9.27</v>
      </c>
    </row>
    <row r="223" spans="1:81" x14ac:dyDescent="0.2">
      <c r="A223" s="2">
        <v>45078</v>
      </c>
      <c r="B223">
        <v>2023</v>
      </c>
      <c r="C223">
        <v>6</v>
      </c>
      <c r="E223">
        <v>7.29</v>
      </c>
      <c r="F223">
        <v>20.25</v>
      </c>
      <c r="G223">
        <v>24</v>
      </c>
      <c r="J223">
        <v>4.8430999999999997</v>
      </c>
      <c r="K223">
        <v>1.3286</v>
      </c>
      <c r="L223">
        <v>1.0840000000000001</v>
      </c>
      <c r="M223">
        <v>141.35810000000001</v>
      </c>
      <c r="N223">
        <v>7.1614000000000004</v>
      </c>
      <c r="O223">
        <v>0.81589643199999995</v>
      </c>
      <c r="P223">
        <v>106.3962818</v>
      </c>
      <c r="Q223">
        <v>5.3901851570000003</v>
      </c>
      <c r="R223">
        <v>5337727</v>
      </c>
      <c r="S223">
        <v>25851225</v>
      </c>
      <c r="T223">
        <v>28128.31</v>
      </c>
      <c r="U223">
        <v>25707.15</v>
      </c>
      <c r="W223">
        <v>32203965.300000001</v>
      </c>
      <c r="X223">
        <v>42813035.5</v>
      </c>
      <c r="Y223">
        <v>3567.14</v>
      </c>
      <c r="Z223">
        <v>2234.54</v>
      </c>
      <c r="AA223">
        <v>718.99</v>
      </c>
      <c r="AB223">
        <v>327.88</v>
      </c>
      <c r="AC223">
        <v>44.88</v>
      </c>
      <c r="AD223">
        <v>6893.43</v>
      </c>
      <c r="AE223">
        <v>78117985</v>
      </c>
      <c r="AF223">
        <v>58302522</v>
      </c>
      <c r="AG223">
        <v>14362668</v>
      </c>
      <c r="AH223">
        <v>894854</v>
      </c>
      <c r="AI223">
        <v>7317329</v>
      </c>
      <c r="AJ223">
        <v>158995358</v>
      </c>
      <c r="AK223">
        <v>428</v>
      </c>
      <c r="AL223">
        <v>197</v>
      </c>
      <c r="AM223">
        <v>3</v>
      </c>
      <c r="AN223">
        <v>216</v>
      </c>
      <c r="AO223">
        <v>110</v>
      </c>
      <c r="AP223">
        <v>954</v>
      </c>
      <c r="AQ223">
        <v>8517976</v>
      </c>
      <c r="AR223">
        <v>4653403</v>
      </c>
      <c r="AS223">
        <v>80438</v>
      </c>
      <c r="AT223">
        <v>2746612</v>
      </c>
      <c r="AU223">
        <v>2881374</v>
      </c>
      <c r="AV223">
        <v>18879803</v>
      </c>
      <c r="AW223">
        <v>9.93</v>
      </c>
      <c r="AX223">
        <v>11.83</v>
      </c>
      <c r="AY223">
        <v>9.06</v>
      </c>
      <c r="AZ223">
        <v>1.24</v>
      </c>
      <c r="BA223">
        <v>10.46</v>
      </c>
      <c r="BB223">
        <v>9.0299999999999994</v>
      </c>
      <c r="BC223">
        <v>10.71</v>
      </c>
      <c r="BD223">
        <v>12.16</v>
      </c>
      <c r="BE223">
        <v>5.77</v>
      </c>
      <c r="BF223">
        <v>8.98</v>
      </c>
      <c r="BG223">
        <v>0.51749999999999996</v>
      </c>
      <c r="BH223">
        <v>0.32419999999999999</v>
      </c>
      <c r="BI223">
        <v>0.1043</v>
      </c>
      <c r="BJ223">
        <v>4.7600000000000003E-2</v>
      </c>
      <c r="BK223">
        <v>0.4486</v>
      </c>
      <c r="BL223">
        <v>0.20649999999999999</v>
      </c>
      <c r="BM223">
        <v>3.0999999999999999E-3</v>
      </c>
      <c r="BN223">
        <v>0.22639999999999999</v>
      </c>
      <c r="BO223">
        <v>-1.71</v>
      </c>
      <c r="BP223">
        <v>1.9</v>
      </c>
      <c r="BQ223">
        <v>-0.87</v>
      </c>
      <c r="BR223">
        <v>-8.6999999999999993</v>
      </c>
      <c r="BS223">
        <v>32202445.530000001</v>
      </c>
      <c r="BT223">
        <v>2491725.46</v>
      </c>
      <c r="BU223">
        <v>14.41</v>
      </c>
      <c r="BV223">
        <v>3744326.61</v>
      </c>
      <c r="BW223">
        <v>14.89</v>
      </c>
      <c r="BX223">
        <v>711038.45160000003</v>
      </c>
      <c r="BY223">
        <v>7.7605310760000004</v>
      </c>
      <c r="BZ223" s="5">
        <v>1094011.8</v>
      </c>
      <c r="CA223" s="5">
        <v>8.2799999999999994</v>
      </c>
      <c r="CB223" s="5">
        <v>715614.47</v>
      </c>
      <c r="CC223" s="5">
        <v>8.9499999999999993</v>
      </c>
    </row>
    <row r="224" spans="1:81" x14ac:dyDescent="0.2">
      <c r="A224" s="2">
        <v>45108</v>
      </c>
      <c r="B224">
        <v>2023</v>
      </c>
      <c r="C224">
        <v>7</v>
      </c>
      <c r="E224">
        <v>8.27</v>
      </c>
      <c r="F224">
        <v>20.25</v>
      </c>
      <c r="G224">
        <v>24</v>
      </c>
      <c r="J224">
        <v>4.3861999999999997</v>
      </c>
      <c r="K224">
        <v>1.3210999999999999</v>
      </c>
      <c r="L224">
        <v>1.1067</v>
      </c>
      <c r="M224">
        <v>140.93600000000001</v>
      </c>
      <c r="N224">
        <v>7.1863000000000001</v>
      </c>
      <c r="O224">
        <v>0.83771099800000004</v>
      </c>
      <c r="P224">
        <v>106.6807963</v>
      </c>
      <c r="Q224">
        <v>5.4396336390000002</v>
      </c>
      <c r="R224">
        <v>17953696</v>
      </c>
      <c r="S224">
        <v>78749387</v>
      </c>
      <c r="T224">
        <v>11835.07</v>
      </c>
      <c r="U224">
        <v>3691.4</v>
      </c>
      <c r="W224">
        <v>35885070.789999999</v>
      </c>
      <c r="X224">
        <v>42863199.700000003</v>
      </c>
      <c r="Y224">
        <v>859.82</v>
      </c>
      <c r="Z224">
        <v>1559.09</v>
      </c>
      <c r="AA224">
        <v>446.99</v>
      </c>
      <c r="AB224">
        <v>284.99</v>
      </c>
      <c r="AC224">
        <v>63.2</v>
      </c>
      <c r="AD224">
        <v>3214.09</v>
      </c>
      <c r="AE224">
        <v>20893642</v>
      </c>
      <c r="AF224">
        <v>40295887</v>
      </c>
      <c r="AG224">
        <v>9733650</v>
      </c>
      <c r="AH224">
        <v>1137951</v>
      </c>
      <c r="AI224">
        <v>7109061</v>
      </c>
      <c r="AJ224">
        <v>79170191</v>
      </c>
      <c r="AK224">
        <v>564</v>
      </c>
      <c r="AL224">
        <v>330</v>
      </c>
      <c r="AM224">
        <v>2</v>
      </c>
      <c r="AN224">
        <v>3560</v>
      </c>
      <c r="AO224">
        <v>96</v>
      </c>
      <c r="AP224">
        <v>4552</v>
      </c>
      <c r="AQ224">
        <v>11103983</v>
      </c>
      <c r="AR224">
        <v>7932765</v>
      </c>
      <c r="AS224">
        <v>48686</v>
      </c>
      <c r="AT224">
        <v>43343014</v>
      </c>
      <c r="AU224">
        <v>2496906</v>
      </c>
      <c r="AV224">
        <v>64925354</v>
      </c>
      <c r="AW224">
        <v>11.02</v>
      </c>
      <c r="AX224">
        <v>11.72</v>
      </c>
      <c r="AY224">
        <v>9.8800000000000008</v>
      </c>
      <c r="AZ224">
        <v>1.81</v>
      </c>
      <c r="BA224">
        <v>11.17</v>
      </c>
      <c r="BB224">
        <v>8.93</v>
      </c>
      <c r="BC224">
        <v>10.9</v>
      </c>
      <c r="BD224">
        <v>11.04</v>
      </c>
      <c r="BE224">
        <v>5.52</v>
      </c>
      <c r="BF224">
        <v>6.47</v>
      </c>
      <c r="BG224">
        <v>0.26750000000000002</v>
      </c>
      <c r="BH224">
        <v>0.48509999999999998</v>
      </c>
      <c r="BI224">
        <v>0.1391</v>
      </c>
      <c r="BJ224">
        <v>8.8700000000000001E-2</v>
      </c>
      <c r="BK224">
        <v>0.1239</v>
      </c>
      <c r="BL224">
        <v>7.2499999999999995E-2</v>
      </c>
      <c r="BM224">
        <v>4.0000000000000002E-4</v>
      </c>
      <c r="BN224">
        <v>0.78210000000000002</v>
      </c>
      <c r="BO224">
        <v>-2.82</v>
      </c>
      <c r="BP224">
        <v>0.7</v>
      </c>
      <c r="BQ224">
        <v>-1.1399999999999999</v>
      </c>
      <c r="BR224">
        <v>-9.2100000000000009</v>
      </c>
      <c r="BS224">
        <v>35886332.560000002</v>
      </c>
      <c r="BT224">
        <v>257274.74</v>
      </c>
      <c r="BU224">
        <v>2.95</v>
      </c>
      <c r="BV224">
        <v>139054.20000000001</v>
      </c>
      <c r="BW224">
        <v>14.9</v>
      </c>
      <c r="BX224">
        <v>269766.12170000002</v>
      </c>
      <c r="BY224">
        <v>6.7960757579999997</v>
      </c>
      <c r="BZ224" s="5">
        <v>939992.33</v>
      </c>
      <c r="CA224" s="5">
        <v>8.24</v>
      </c>
      <c r="CB224" s="5">
        <v>589406.34</v>
      </c>
      <c r="CC224" s="5">
        <v>10.66</v>
      </c>
    </row>
    <row r="225" spans="1:81" x14ac:dyDescent="0.2">
      <c r="A225" s="2">
        <v>45139</v>
      </c>
      <c r="B225">
        <v>2023</v>
      </c>
      <c r="C225">
        <v>8</v>
      </c>
      <c r="E225">
        <v>9.57</v>
      </c>
      <c r="F225">
        <v>20.25</v>
      </c>
      <c r="G225">
        <v>23.68</v>
      </c>
      <c r="J225">
        <v>4.5651999999999999</v>
      </c>
      <c r="K225">
        <v>1.3478000000000001</v>
      </c>
      <c r="L225">
        <v>1.091</v>
      </c>
      <c r="M225">
        <v>144.78039999999999</v>
      </c>
      <c r="N225">
        <v>7.2485999999999997</v>
      </c>
      <c r="O225">
        <v>0.80946728000000001</v>
      </c>
      <c r="P225">
        <v>107.4197952</v>
      </c>
      <c r="Q225">
        <v>5.3780976410000001</v>
      </c>
      <c r="R225">
        <v>18530603</v>
      </c>
      <c r="S225">
        <v>84596108</v>
      </c>
      <c r="T225">
        <v>9466.5499999999993</v>
      </c>
      <c r="U225">
        <v>1061.2</v>
      </c>
      <c r="W225">
        <v>24301884.640000001</v>
      </c>
      <c r="X225">
        <v>42913446.299999997</v>
      </c>
      <c r="Y225">
        <v>829.22</v>
      </c>
      <c r="Z225">
        <v>1810.58</v>
      </c>
      <c r="AA225">
        <v>423.6</v>
      </c>
      <c r="AB225">
        <v>260.20999999999998</v>
      </c>
      <c r="AC225">
        <v>57.85</v>
      </c>
      <c r="AD225">
        <v>3381.46</v>
      </c>
      <c r="AE225">
        <v>20602508</v>
      </c>
      <c r="AF225">
        <v>47194528</v>
      </c>
      <c r="AG225">
        <v>9233012</v>
      </c>
      <c r="AH225">
        <v>1372850</v>
      </c>
      <c r="AI225">
        <v>6142490</v>
      </c>
      <c r="AJ225">
        <v>84545388</v>
      </c>
      <c r="AK225">
        <v>1547</v>
      </c>
      <c r="AL225">
        <v>406</v>
      </c>
      <c r="AM225">
        <v>2</v>
      </c>
      <c r="AN225">
        <v>3293</v>
      </c>
      <c r="AO225">
        <v>106</v>
      </c>
      <c r="AP225">
        <v>5354</v>
      </c>
      <c r="AQ225">
        <v>28215296</v>
      </c>
      <c r="AR225">
        <v>9722191</v>
      </c>
      <c r="AS225">
        <v>63504</v>
      </c>
      <c r="AT225">
        <v>42865990</v>
      </c>
      <c r="AU225">
        <v>2641883</v>
      </c>
      <c r="AV225">
        <v>83508864</v>
      </c>
      <c r="AW225">
        <v>11.27</v>
      </c>
      <c r="AX225">
        <v>11.82</v>
      </c>
      <c r="AY225">
        <v>9.89</v>
      </c>
      <c r="AZ225">
        <v>2.39</v>
      </c>
      <c r="BA225">
        <v>11.34</v>
      </c>
      <c r="BB225">
        <v>8.27</v>
      </c>
      <c r="BC225">
        <v>10.86</v>
      </c>
      <c r="BD225">
        <v>14.4</v>
      </c>
      <c r="BE225">
        <v>5.9</v>
      </c>
      <c r="BF225">
        <v>7.07</v>
      </c>
      <c r="BG225">
        <v>0.2452</v>
      </c>
      <c r="BH225">
        <v>0.53539999999999999</v>
      </c>
      <c r="BI225">
        <v>0.12529999999999999</v>
      </c>
      <c r="BJ225">
        <v>7.6999999999999999E-2</v>
      </c>
      <c r="BK225">
        <v>0.28889999999999999</v>
      </c>
      <c r="BL225">
        <v>7.5800000000000006E-2</v>
      </c>
      <c r="BM225">
        <v>4.0000000000000002E-4</v>
      </c>
      <c r="BN225">
        <v>0.61509999999999998</v>
      </c>
      <c r="BO225">
        <v>-2.46</v>
      </c>
      <c r="BP225">
        <v>0.55000000000000004</v>
      </c>
      <c r="BQ225">
        <v>-1.38</v>
      </c>
      <c r="BR225">
        <v>-8.8800000000000008</v>
      </c>
      <c r="BS225">
        <v>24302157.949999999</v>
      </c>
      <c r="BT225">
        <v>1567914.72</v>
      </c>
      <c r="BU225">
        <v>16.95</v>
      </c>
      <c r="BV225">
        <v>4050387.39</v>
      </c>
      <c r="BW225">
        <v>15.05</v>
      </c>
      <c r="BX225">
        <v>108542.2611</v>
      </c>
      <c r="BY225">
        <v>6.8060402709999996</v>
      </c>
      <c r="BZ225" s="5">
        <v>695596.48</v>
      </c>
      <c r="CA225" s="5">
        <v>8.8699999999999992</v>
      </c>
      <c r="CB225" s="5">
        <v>334410.65999999997</v>
      </c>
      <c r="CC225" s="5">
        <v>10.29</v>
      </c>
    </row>
    <row r="226" spans="1:81" x14ac:dyDescent="0.2">
      <c r="A226" s="2">
        <v>45170</v>
      </c>
      <c r="B226">
        <v>2023</v>
      </c>
      <c r="C226">
        <v>9</v>
      </c>
      <c r="E226">
        <v>9.9499999999999993</v>
      </c>
      <c r="F226">
        <v>20.34</v>
      </c>
      <c r="G226">
        <v>23.5</v>
      </c>
      <c r="J226">
        <v>4.9855999999999998</v>
      </c>
      <c r="K226">
        <v>1.3531</v>
      </c>
      <c r="L226">
        <v>1.0671999999999999</v>
      </c>
      <c r="M226">
        <v>147.845</v>
      </c>
      <c r="N226">
        <v>7.2979000000000003</v>
      </c>
      <c r="O226">
        <v>0.78870741300000002</v>
      </c>
      <c r="P226">
        <v>109.2639125</v>
      </c>
      <c r="Q226">
        <v>5.3934668539999997</v>
      </c>
      <c r="R226">
        <v>14693132</v>
      </c>
      <c r="S226">
        <v>73253942</v>
      </c>
      <c r="T226">
        <v>7725.9</v>
      </c>
      <c r="U226">
        <v>1061.2</v>
      </c>
      <c r="W226">
        <v>12957874.720000001</v>
      </c>
      <c r="X226">
        <v>42963775.600000001</v>
      </c>
      <c r="Y226">
        <v>476.22</v>
      </c>
      <c r="Z226">
        <v>2027.02</v>
      </c>
      <c r="AA226">
        <v>371.64</v>
      </c>
      <c r="AB226">
        <v>218.71</v>
      </c>
      <c r="AC226">
        <v>49.37</v>
      </c>
      <c r="AD226">
        <v>3142.96</v>
      </c>
      <c r="AE226">
        <v>11539995</v>
      </c>
      <c r="AF226">
        <v>53665611</v>
      </c>
      <c r="AG226">
        <v>7928905</v>
      </c>
      <c r="AH226">
        <v>1157059</v>
      </c>
      <c r="AI226">
        <v>5152582</v>
      </c>
      <c r="AJ226">
        <v>79444152</v>
      </c>
      <c r="AK226">
        <v>1350</v>
      </c>
      <c r="AL226">
        <v>260</v>
      </c>
      <c r="AM226">
        <v>0</v>
      </c>
      <c r="AN226">
        <v>2579</v>
      </c>
      <c r="AO226">
        <v>91</v>
      </c>
      <c r="AP226">
        <v>4280</v>
      </c>
      <c r="AQ226">
        <v>26288608</v>
      </c>
      <c r="AR226">
        <v>6113778</v>
      </c>
      <c r="AS226">
        <v>0</v>
      </c>
      <c r="AT226">
        <v>35412052</v>
      </c>
      <c r="AU226">
        <v>2363984</v>
      </c>
      <c r="AV226">
        <v>70178422</v>
      </c>
      <c r="AW226">
        <v>10.99</v>
      </c>
      <c r="AX226">
        <v>12.01</v>
      </c>
      <c r="AY226">
        <v>9.68</v>
      </c>
      <c r="AZ226">
        <v>2.4</v>
      </c>
      <c r="BA226">
        <v>11.47</v>
      </c>
      <c r="BB226">
        <v>8.83</v>
      </c>
      <c r="BC226">
        <v>10.67</v>
      </c>
      <c r="BE226">
        <v>6.23</v>
      </c>
      <c r="BF226">
        <v>7.44</v>
      </c>
      <c r="BG226">
        <v>0.1515</v>
      </c>
      <c r="BH226">
        <v>0.64490000000000003</v>
      </c>
      <c r="BI226">
        <v>0.1182</v>
      </c>
      <c r="BJ226">
        <v>6.9599999999999995E-2</v>
      </c>
      <c r="BK226">
        <v>0.31540000000000001</v>
      </c>
      <c r="BL226">
        <v>6.0699999999999997E-2</v>
      </c>
      <c r="BM226">
        <v>0</v>
      </c>
      <c r="BN226">
        <v>0.60260000000000002</v>
      </c>
      <c r="BO226">
        <v>-1.9</v>
      </c>
      <c r="BP226">
        <v>1.02</v>
      </c>
      <c r="BQ226">
        <v>-1.31</v>
      </c>
      <c r="BR226">
        <v>-8.59</v>
      </c>
      <c r="BS226">
        <v>12958180.460000001</v>
      </c>
      <c r="BT226">
        <v>1825189.47</v>
      </c>
      <c r="BU226">
        <v>14.98</v>
      </c>
      <c r="BV226">
        <v>137374.28</v>
      </c>
      <c r="BW226">
        <v>14.41</v>
      </c>
      <c r="BX226">
        <v>3218.7451999999998</v>
      </c>
      <c r="BY226">
        <v>15.095012799999999</v>
      </c>
      <c r="BZ226" s="5">
        <v>989168.68</v>
      </c>
      <c r="CA226" s="5">
        <v>11.58</v>
      </c>
      <c r="CB226" s="5">
        <v>572671.03</v>
      </c>
      <c r="CC226" s="5">
        <v>8.66</v>
      </c>
    </row>
    <row r="227" spans="1:81" x14ac:dyDescent="0.2">
      <c r="A227" s="2">
        <v>45200</v>
      </c>
      <c r="B227">
        <v>2023</v>
      </c>
      <c r="C227">
        <v>10</v>
      </c>
      <c r="E227">
        <v>9.59</v>
      </c>
      <c r="F227">
        <v>20.5</v>
      </c>
      <c r="G227">
        <v>23.5</v>
      </c>
      <c r="J227">
        <v>4.8192000000000004</v>
      </c>
      <c r="K227">
        <v>1.3712</v>
      </c>
      <c r="L227">
        <v>1.0565</v>
      </c>
      <c r="M227">
        <v>149.5933</v>
      </c>
      <c r="N227">
        <v>7.3071000000000002</v>
      </c>
      <c r="O227">
        <v>0.77049299900000001</v>
      </c>
      <c r="P227">
        <v>109.09663070000001</v>
      </c>
      <c r="Q227">
        <v>5.3289819139999999</v>
      </c>
      <c r="R227">
        <v>14659705</v>
      </c>
      <c r="S227">
        <v>70648613</v>
      </c>
      <c r="T227">
        <v>8145.94</v>
      </c>
      <c r="U227">
        <v>1496.4</v>
      </c>
      <c r="W227">
        <v>5570337.307</v>
      </c>
      <c r="X227">
        <v>43014187.700000003</v>
      </c>
      <c r="Y227">
        <v>225.18</v>
      </c>
      <c r="Z227">
        <v>1025.08</v>
      </c>
      <c r="AA227">
        <v>213.26</v>
      </c>
      <c r="AB227">
        <v>200.7</v>
      </c>
      <c r="AC227">
        <v>75.95</v>
      </c>
      <c r="AD227">
        <v>1740.17</v>
      </c>
      <c r="AE227">
        <v>5493250</v>
      </c>
      <c r="AF227">
        <v>26802855</v>
      </c>
      <c r="AG227">
        <v>5151087</v>
      </c>
      <c r="AH227">
        <v>1411638</v>
      </c>
      <c r="AI227">
        <v>5185651</v>
      </c>
      <c r="AJ227">
        <v>44044481</v>
      </c>
      <c r="AK227">
        <v>1292</v>
      </c>
      <c r="AL227">
        <v>348</v>
      </c>
      <c r="AM227">
        <v>4</v>
      </c>
      <c r="AN227">
        <v>3322</v>
      </c>
      <c r="AO227">
        <v>134</v>
      </c>
      <c r="AP227">
        <v>5100</v>
      </c>
      <c r="AQ227">
        <v>23190578</v>
      </c>
      <c r="AR227">
        <v>8177867</v>
      </c>
      <c r="AS227">
        <v>133056</v>
      </c>
      <c r="AT227">
        <v>44364425</v>
      </c>
      <c r="AU227">
        <v>3308408</v>
      </c>
      <c r="AV227">
        <v>79174334</v>
      </c>
      <c r="AW227">
        <v>11.07</v>
      </c>
      <c r="AX227">
        <v>11.86</v>
      </c>
      <c r="AY227">
        <v>10.96</v>
      </c>
      <c r="AZ227">
        <v>3.19</v>
      </c>
      <c r="BA227">
        <v>11.48</v>
      </c>
      <c r="BB227">
        <v>8.14</v>
      </c>
      <c r="BC227">
        <v>10.66</v>
      </c>
      <c r="BD227">
        <v>15.09</v>
      </c>
      <c r="BE227">
        <v>6.06</v>
      </c>
      <c r="BF227">
        <v>7.04</v>
      </c>
      <c r="BG227">
        <v>0.12939999999999999</v>
      </c>
      <c r="BH227">
        <v>0.58909999999999996</v>
      </c>
      <c r="BI227">
        <v>0.1226</v>
      </c>
      <c r="BJ227">
        <v>0.1153</v>
      </c>
      <c r="BK227">
        <v>0.25330000000000003</v>
      </c>
      <c r="BL227">
        <v>6.8199999999999997E-2</v>
      </c>
      <c r="BM227">
        <v>8.0000000000000004E-4</v>
      </c>
      <c r="BN227">
        <v>0.65139999999999998</v>
      </c>
      <c r="BO227">
        <v>-2.0099999999999998</v>
      </c>
      <c r="BP227">
        <v>0.79</v>
      </c>
      <c r="BQ227">
        <v>-0.11</v>
      </c>
      <c r="BR227">
        <v>-7.87</v>
      </c>
      <c r="BS227">
        <v>5571361.4539999999</v>
      </c>
      <c r="BT227">
        <v>289951.62</v>
      </c>
      <c r="BU227">
        <v>3.77</v>
      </c>
      <c r="BV227">
        <v>3291592.46</v>
      </c>
      <c r="BW227">
        <v>15.36</v>
      </c>
      <c r="BX227">
        <v>257702.44099999999</v>
      </c>
      <c r="BY227">
        <v>6.4868962559999996</v>
      </c>
      <c r="BZ227" s="5">
        <v>562628.97</v>
      </c>
      <c r="CA227" s="5">
        <v>8.4700000000000006</v>
      </c>
      <c r="CB227" s="5">
        <v>237147.04</v>
      </c>
      <c r="CC227" s="5">
        <v>8.6300000000000008</v>
      </c>
    </row>
    <row r="228" spans="1:81" x14ac:dyDescent="0.2">
      <c r="A228" s="2">
        <v>45231</v>
      </c>
      <c r="B228">
        <v>2023</v>
      </c>
      <c r="C228">
        <v>11</v>
      </c>
      <c r="E228">
        <v>9.33</v>
      </c>
      <c r="F228">
        <v>20.53</v>
      </c>
      <c r="G228">
        <v>23.5</v>
      </c>
      <c r="J228">
        <v>4.9051999999999998</v>
      </c>
      <c r="K228">
        <v>1.3707</v>
      </c>
      <c r="L228">
        <v>1.0819000000000001</v>
      </c>
      <c r="M228">
        <v>149.679</v>
      </c>
      <c r="N228">
        <v>7.2225999999999999</v>
      </c>
      <c r="O228">
        <v>0.78930473499999998</v>
      </c>
      <c r="P228">
        <v>109.1989494</v>
      </c>
      <c r="Q228">
        <v>5.2692784709999998</v>
      </c>
      <c r="R228">
        <v>9214944</v>
      </c>
      <c r="S228">
        <v>45201222</v>
      </c>
      <c r="T228">
        <v>5884.63</v>
      </c>
      <c r="U228">
        <v>1704.8</v>
      </c>
      <c r="W228">
        <v>7045382.1059999997</v>
      </c>
      <c r="X228">
        <v>43064682.799999997</v>
      </c>
      <c r="Y228">
        <v>723.21</v>
      </c>
      <c r="Z228">
        <v>890.18</v>
      </c>
      <c r="AA228">
        <v>174.24</v>
      </c>
      <c r="AB228">
        <v>173.1</v>
      </c>
      <c r="AC228">
        <v>54.52</v>
      </c>
      <c r="AD228">
        <v>2015.25</v>
      </c>
      <c r="AE228">
        <v>18191306</v>
      </c>
      <c r="AF228">
        <v>24469056</v>
      </c>
      <c r="AG228">
        <v>4500695</v>
      </c>
      <c r="AH228">
        <v>1182085</v>
      </c>
      <c r="AI228">
        <v>4779509</v>
      </c>
      <c r="AJ228">
        <v>53122651</v>
      </c>
      <c r="AK228">
        <v>1384</v>
      </c>
      <c r="AL228">
        <v>363</v>
      </c>
      <c r="AM228">
        <v>8</v>
      </c>
      <c r="AN228">
        <v>1840</v>
      </c>
      <c r="AO228">
        <v>126</v>
      </c>
      <c r="AP228">
        <v>3721</v>
      </c>
      <c r="AQ228">
        <v>25270484</v>
      </c>
      <c r="AR228">
        <v>8494966</v>
      </c>
      <c r="AS228">
        <v>149419</v>
      </c>
      <c r="AT228">
        <v>24697675</v>
      </c>
      <c r="AU228">
        <v>3253284</v>
      </c>
      <c r="AV228">
        <v>61865828</v>
      </c>
      <c r="AW228">
        <v>11.41</v>
      </c>
      <c r="AX228">
        <v>12.47</v>
      </c>
      <c r="AY228">
        <v>11.72</v>
      </c>
      <c r="AZ228">
        <v>3.1</v>
      </c>
      <c r="BA228">
        <v>11.96</v>
      </c>
      <c r="BB228">
        <v>8.2799999999999994</v>
      </c>
      <c r="BC228">
        <v>10.62</v>
      </c>
      <c r="BD228">
        <v>8.4700000000000006</v>
      </c>
      <c r="BE228">
        <v>6.09</v>
      </c>
      <c r="BF228">
        <v>7.54</v>
      </c>
      <c r="BG228">
        <v>0.3589</v>
      </c>
      <c r="BH228">
        <v>0.44169999999999998</v>
      </c>
      <c r="BI228">
        <v>8.6499999999999994E-2</v>
      </c>
      <c r="BJ228">
        <v>8.5900000000000004E-2</v>
      </c>
      <c r="BK228">
        <v>0.37190000000000001</v>
      </c>
      <c r="BL228">
        <v>9.7600000000000006E-2</v>
      </c>
      <c r="BM228">
        <v>2.0999999999999999E-3</v>
      </c>
      <c r="BN228">
        <v>0.4945</v>
      </c>
      <c r="BO228">
        <v>-2.2400000000000002</v>
      </c>
      <c r="BP228">
        <v>1.06</v>
      </c>
      <c r="BQ228">
        <v>0.31</v>
      </c>
      <c r="BR228">
        <v>-8.31</v>
      </c>
      <c r="BS228">
        <v>7046948.0800000001</v>
      </c>
      <c r="BT228">
        <v>1562806.62</v>
      </c>
      <c r="BU228">
        <v>15.63</v>
      </c>
      <c r="BV228">
        <v>149393.87</v>
      </c>
      <c r="BW228">
        <v>12.04</v>
      </c>
      <c r="BX228">
        <v>144023.4154</v>
      </c>
      <c r="BY228">
        <v>2.8142090579999999</v>
      </c>
      <c r="BZ228" s="5">
        <v>244969.05</v>
      </c>
      <c r="CA228" s="5">
        <v>11.92</v>
      </c>
      <c r="CB228" s="5">
        <v>98639.31</v>
      </c>
      <c r="CC228" s="5">
        <v>10.57</v>
      </c>
    </row>
    <row r="229" spans="1:81" x14ac:dyDescent="0.2">
      <c r="A229" s="2">
        <v>45261</v>
      </c>
      <c r="B229">
        <v>2023</v>
      </c>
      <c r="C229">
        <v>12</v>
      </c>
      <c r="E229">
        <v>10.71</v>
      </c>
      <c r="F229">
        <v>21.5</v>
      </c>
      <c r="G229">
        <v>24.25</v>
      </c>
      <c r="J229">
        <v>6.2150999999999996</v>
      </c>
      <c r="K229">
        <v>1.3415999999999999</v>
      </c>
      <c r="L229">
        <v>1.0909</v>
      </c>
      <c r="M229">
        <v>143.98150000000001</v>
      </c>
      <c r="N229">
        <v>7.1402000000000001</v>
      </c>
      <c r="O229">
        <v>0.81313357200000003</v>
      </c>
      <c r="P229">
        <v>107.3207364</v>
      </c>
      <c r="Q229">
        <v>5.3221526539999999</v>
      </c>
      <c r="R229">
        <v>5362945</v>
      </c>
      <c r="S229">
        <v>33331433</v>
      </c>
      <c r="T229">
        <v>17799.990000000002</v>
      </c>
      <c r="U229">
        <v>15367.4</v>
      </c>
      <c r="W229">
        <v>32646875.699999999</v>
      </c>
      <c r="X229">
        <v>43115261.100000001</v>
      </c>
      <c r="Y229">
        <v>2380.29</v>
      </c>
      <c r="Z229">
        <v>1366.38</v>
      </c>
      <c r="AA229">
        <v>868.11</v>
      </c>
      <c r="AB229">
        <v>383.1</v>
      </c>
      <c r="AC229">
        <v>99.09</v>
      </c>
      <c r="AD229">
        <v>5096.97</v>
      </c>
      <c r="AE229">
        <v>67529050</v>
      </c>
      <c r="AF229">
        <v>37902940</v>
      </c>
      <c r="AG229">
        <v>22498187</v>
      </c>
      <c r="AH229">
        <v>2477674</v>
      </c>
      <c r="AI229">
        <v>10144670</v>
      </c>
      <c r="AJ229">
        <v>140552521</v>
      </c>
      <c r="AK229">
        <v>1028</v>
      </c>
      <c r="AL229">
        <v>802</v>
      </c>
      <c r="AM229">
        <v>4</v>
      </c>
      <c r="AN229">
        <v>466</v>
      </c>
      <c r="AO229">
        <v>146</v>
      </c>
      <c r="AP229">
        <v>2446</v>
      </c>
      <c r="AQ229">
        <v>19467679</v>
      </c>
      <c r="AR229">
        <v>19525632</v>
      </c>
      <c r="AS229">
        <v>130091</v>
      </c>
      <c r="AT229">
        <v>6897128</v>
      </c>
      <c r="AU229">
        <v>3942834</v>
      </c>
      <c r="AV229">
        <v>49963364</v>
      </c>
      <c r="AW229">
        <v>12.87</v>
      </c>
      <c r="AX229">
        <v>12.58</v>
      </c>
      <c r="AY229">
        <v>11.76</v>
      </c>
      <c r="AZ229">
        <v>2.93</v>
      </c>
      <c r="BA229">
        <v>12.51</v>
      </c>
      <c r="BB229">
        <v>8.59</v>
      </c>
      <c r="BC229">
        <v>11.04</v>
      </c>
      <c r="BD229">
        <v>14.75</v>
      </c>
      <c r="BE229">
        <v>6.71</v>
      </c>
      <c r="BF229">
        <v>9.27</v>
      </c>
      <c r="BG229">
        <v>0.46700000000000003</v>
      </c>
      <c r="BH229">
        <v>0.2681</v>
      </c>
      <c r="BI229">
        <v>0.17030000000000001</v>
      </c>
      <c r="BJ229">
        <v>7.5200000000000003E-2</v>
      </c>
      <c r="BK229">
        <v>0.42030000000000001</v>
      </c>
      <c r="BL229">
        <v>0.32790000000000002</v>
      </c>
      <c r="BM229">
        <v>1.6000000000000001E-3</v>
      </c>
      <c r="BN229">
        <v>0.1905</v>
      </c>
      <c r="BO229">
        <v>-2.88</v>
      </c>
      <c r="BP229">
        <v>-0.28999999999999998</v>
      </c>
      <c r="BQ229">
        <v>-1.1100000000000001</v>
      </c>
      <c r="BR229">
        <v>-9.93</v>
      </c>
      <c r="BS229">
        <v>32647368.140000001</v>
      </c>
      <c r="BT229">
        <v>1912981.84</v>
      </c>
      <c r="BU229">
        <v>13.44</v>
      </c>
      <c r="BV229">
        <v>3657654.18</v>
      </c>
      <c r="BW229">
        <v>15.15</v>
      </c>
      <c r="BX229">
        <v>143368.64319999999</v>
      </c>
      <c r="BY229">
        <v>8.1801360019999994</v>
      </c>
      <c r="BZ229" s="5">
        <v>221677.19</v>
      </c>
      <c r="CA229" s="5">
        <v>8.4700000000000006</v>
      </c>
      <c r="CB229" s="5">
        <v>115782.47</v>
      </c>
      <c r="CC229" s="5">
        <v>6.51</v>
      </c>
    </row>
    <row r="230" spans="1:81" x14ac:dyDescent="0.2">
      <c r="A230" s="2">
        <v>45292</v>
      </c>
      <c r="B230">
        <v>2024</v>
      </c>
      <c r="C230">
        <v>1</v>
      </c>
      <c r="E230">
        <v>11.97</v>
      </c>
      <c r="F230">
        <v>23.08</v>
      </c>
      <c r="G230">
        <v>26.17</v>
      </c>
      <c r="J230">
        <f>S229/R229</f>
        <v>6.2151360866091299</v>
      </c>
      <c r="K230">
        <v>1.3423</v>
      </c>
      <c r="L230">
        <v>1.0899000000000001</v>
      </c>
      <c r="M230">
        <v>146.29429999999999</v>
      </c>
      <c r="N230">
        <v>7.1707000000000001</v>
      </c>
      <c r="O230">
        <v>0.81196453800000001</v>
      </c>
      <c r="P230">
        <v>108.9877822</v>
      </c>
      <c r="Q230">
        <v>5.3420993819999998</v>
      </c>
      <c r="R230" s="3">
        <v>2468744</v>
      </c>
      <c r="S230">
        <v>17810546</v>
      </c>
      <c r="T230" s="3">
        <f>SUM(R230+U230)</f>
        <v>2476779.1166666667</v>
      </c>
      <c r="U230">
        <v>8035.1166666666604</v>
      </c>
      <c r="Y230">
        <v>1171.17</v>
      </c>
      <c r="Z230">
        <v>2443.56</v>
      </c>
      <c r="AA230">
        <v>200.87</v>
      </c>
      <c r="AB230">
        <v>334.05</v>
      </c>
      <c r="AC230">
        <v>50.35</v>
      </c>
      <c r="AD230">
        <v>4200</v>
      </c>
      <c r="AE230">
        <v>35406298</v>
      </c>
      <c r="AF230">
        <v>71236108</v>
      </c>
      <c r="AG230">
        <v>5315811</v>
      </c>
      <c r="AH230">
        <v>1092951</v>
      </c>
      <c r="AI230">
        <v>8197717</v>
      </c>
      <c r="AJ230">
        <v>121248885</v>
      </c>
      <c r="AK230">
        <v>1096</v>
      </c>
      <c r="AL230">
        <v>218</v>
      </c>
      <c r="AM230">
        <v>1</v>
      </c>
      <c r="AN230">
        <v>174</v>
      </c>
      <c r="AO230">
        <v>95</v>
      </c>
      <c r="AP230">
        <v>1584</v>
      </c>
      <c r="AQ230">
        <v>20847201</v>
      </c>
      <c r="AR230">
        <v>5476899</v>
      </c>
      <c r="AS230">
        <v>24450</v>
      </c>
      <c r="AT230">
        <v>2784396</v>
      </c>
      <c r="AU230">
        <v>2619757</v>
      </c>
      <c r="AV230">
        <v>31752703</v>
      </c>
      <c r="AW230">
        <v>13.71</v>
      </c>
      <c r="AX230">
        <v>13.22</v>
      </c>
      <c r="AY230">
        <v>12</v>
      </c>
      <c r="AZ230">
        <v>1.48</v>
      </c>
      <c r="BA230">
        <v>13.09</v>
      </c>
      <c r="BB230">
        <v>8.6300000000000008</v>
      </c>
      <c r="BC230">
        <v>11.4</v>
      </c>
      <c r="BD230">
        <v>11.09</v>
      </c>
      <c r="BE230">
        <v>7.26</v>
      </c>
      <c r="BF230">
        <v>9.09</v>
      </c>
      <c r="BG230">
        <v>0.27889999999999998</v>
      </c>
      <c r="BH230">
        <v>0.58179999999999998</v>
      </c>
      <c r="BI230">
        <v>4.7800000000000002E-2</v>
      </c>
      <c r="BJ230">
        <v>7.9500000000000001E-2</v>
      </c>
      <c r="BK230">
        <v>0.69189999999999996</v>
      </c>
      <c r="BL230">
        <v>0.1376</v>
      </c>
      <c r="BM230">
        <v>5.9999999999999995E-4</v>
      </c>
      <c r="BN230">
        <v>0.10979999999999999</v>
      </c>
      <c r="BO230">
        <v>-2.96</v>
      </c>
      <c r="BP230">
        <v>-0.49</v>
      </c>
      <c r="BQ230">
        <v>-1.71</v>
      </c>
      <c r="BR230">
        <v>-12.23</v>
      </c>
      <c r="BS230">
        <v>26198538.43</v>
      </c>
      <c r="BT230">
        <v>60223.6</v>
      </c>
      <c r="BU230">
        <v>3.18</v>
      </c>
      <c r="BV230">
        <v>134071.76</v>
      </c>
      <c r="BW230">
        <v>13.99</v>
      </c>
      <c r="BX230">
        <v>320404.03850000002</v>
      </c>
      <c r="BY230">
        <v>8.1382245130000008</v>
      </c>
      <c r="BZ230" s="5">
        <v>53307.82</v>
      </c>
      <c r="CA230" s="5">
        <v>5.8</v>
      </c>
      <c r="CB230" s="5">
        <v>98326.25</v>
      </c>
      <c r="CC230" s="5">
        <v>8.32</v>
      </c>
    </row>
    <row r="231" spans="1:81" x14ac:dyDescent="0.2">
      <c r="A231" s="2">
        <v>45323</v>
      </c>
      <c r="B231">
        <v>2024</v>
      </c>
      <c r="C231">
        <v>2</v>
      </c>
      <c r="E231">
        <v>14.22</v>
      </c>
      <c r="F231">
        <v>25.17</v>
      </c>
      <c r="G231">
        <v>29.44</v>
      </c>
      <c r="J231">
        <f t="shared" ref="J231:J241" si="0">S230/R230</f>
        <v>7.2144159135171568</v>
      </c>
      <c r="K231">
        <v>1.35</v>
      </c>
      <c r="L231">
        <v>1.0792999999999999</v>
      </c>
      <c r="M231">
        <v>149.61500000000001</v>
      </c>
      <c r="N231">
        <v>7.1935000000000002</v>
      </c>
      <c r="O231">
        <v>0.79948148100000005</v>
      </c>
      <c r="P231">
        <v>110.8259259</v>
      </c>
      <c r="Q231">
        <v>5.3285185190000002</v>
      </c>
      <c r="R231" s="3">
        <v>1220791</v>
      </c>
      <c r="S231">
        <v>11669345</v>
      </c>
      <c r="T231" s="3">
        <f t="shared" ref="T231:T241" si="1">SUM(R231+U231)</f>
        <v>1220932.8500000001</v>
      </c>
      <c r="U231">
        <v>141.85</v>
      </c>
      <c r="Y231">
        <v>1281.3900000000001</v>
      </c>
      <c r="Z231">
        <v>1697.37</v>
      </c>
      <c r="AA231">
        <v>228.49</v>
      </c>
      <c r="AB231">
        <v>174.06</v>
      </c>
      <c r="AC231">
        <v>60.26</v>
      </c>
      <c r="AD231">
        <v>3441.57</v>
      </c>
      <c r="AE231">
        <v>42327126</v>
      </c>
      <c r="AF231">
        <v>54006820</v>
      </c>
      <c r="AG231">
        <v>8098477</v>
      </c>
      <c r="AH231">
        <v>1556770</v>
      </c>
      <c r="AI231">
        <v>6362426</v>
      </c>
      <c r="AJ231">
        <v>112351619</v>
      </c>
      <c r="AK231">
        <v>581</v>
      </c>
      <c r="AL231">
        <v>184</v>
      </c>
      <c r="AM231">
        <v>1</v>
      </c>
      <c r="AN231">
        <v>11</v>
      </c>
      <c r="AO231">
        <v>90</v>
      </c>
      <c r="AP231">
        <v>867</v>
      </c>
      <c r="AQ231">
        <v>11815198</v>
      </c>
      <c r="AR231">
        <v>4868641</v>
      </c>
      <c r="AS231">
        <v>28800</v>
      </c>
      <c r="AT231">
        <v>238300</v>
      </c>
      <c r="AU231">
        <v>2624935</v>
      </c>
      <c r="AV231">
        <v>19575874</v>
      </c>
      <c r="AW231">
        <v>14.98</v>
      </c>
      <c r="AX231">
        <v>14.43</v>
      </c>
      <c r="AY231">
        <v>16.079999999999998</v>
      </c>
      <c r="AZ231">
        <v>4.0599999999999996</v>
      </c>
      <c r="BA231">
        <v>14.81</v>
      </c>
      <c r="BB231">
        <v>9.2200000000000006</v>
      </c>
      <c r="BC231">
        <v>12</v>
      </c>
      <c r="BD231">
        <v>13.06</v>
      </c>
      <c r="BE231">
        <v>9.83</v>
      </c>
      <c r="BF231">
        <v>10.24</v>
      </c>
      <c r="BG231">
        <v>0.37230000000000002</v>
      </c>
      <c r="BH231">
        <v>0.49320000000000003</v>
      </c>
      <c r="BI231">
        <v>6.6400000000000001E-2</v>
      </c>
      <c r="BJ231">
        <v>5.0599999999999999E-2</v>
      </c>
      <c r="BK231">
        <v>0.67010000000000003</v>
      </c>
      <c r="BL231">
        <v>0.2122</v>
      </c>
      <c r="BM231">
        <v>1.1999999999999999E-3</v>
      </c>
      <c r="BN231">
        <v>1.2699999999999999E-2</v>
      </c>
      <c r="BO231">
        <v>-1.27</v>
      </c>
      <c r="BP231">
        <v>-0.55000000000000004</v>
      </c>
      <c r="BQ231">
        <v>1.0900000000000001</v>
      </c>
      <c r="BR231">
        <v>-10.93</v>
      </c>
      <c r="BS231">
        <v>18933016.460000001</v>
      </c>
      <c r="BT231">
        <v>107748.6</v>
      </c>
      <c r="BU231">
        <v>1.75</v>
      </c>
      <c r="BV231">
        <v>5039366.6900000004</v>
      </c>
      <c r="BW231">
        <v>13.78</v>
      </c>
      <c r="BX231">
        <v>69022.242960000003</v>
      </c>
      <c r="BY231">
        <v>7.7305949089999997</v>
      </c>
      <c r="BZ231" s="5">
        <v>114466.3</v>
      </c>
      <c r="CA231" s="5">
        <v>9.24</v>
      </c>
      <c r="CB231" s="5">
        <v>40558.480000000003</v>
      </c>
      <c r="CC231" s="5">
        <v>8.6999999999999993</v>
      </c>
    </row>
    <row r="232" spans="1:81" x14ac:dyDescent="0.2">
      <c r="A232" s="2">
        <v>45352</v>
      </c>
      <c r="B232">
        <v>2024</v>
      </c>
      <c r="C232">
        <v>3</v>
      </c>
      <c r="E232">
        <v>16.87</v>
      </c>
      <c r="F232">
        <v>26.31</v>
      </c>
      <c r="G232">
        <v>32.06</v>
      </c>
      <c r="J232">
        <f t="shared" si="0"/>
        <v>9.5588393099228295</v>
      </c>
      <c r="K232">
        <v>1.3535999999999999</v>
      </c>
      <c r="L232">
        <v>1.087</v>
      </c>
      <c r="M232">
        <v>149.8186</v>
      </c>
      <c r="N232">
        <v>7.2015000000000002</v>
      </c>
      <c r="O232">
        <v>0.80304373500000004</v>
      </c>
      <c r="P232">
        <v>110.6815898</v>
      </c>
      <c r="Q232">
        <v>5.3202570920000003</v>
      </c>
      <c r="R232" s="3">
        <v>1074592</v>
      </c>
      <c r="S232">
        <v>13330265</v>
      </c>
      <c r="T232" s="3">
        <f t="shared" si="1"/>
        <v>1074733.8500000001</v>
      </c>
      <c r="U232">
        <v>141.85</v>
      </c>
      <c r="Y232">
        <v>1188.4000000000001</v>
      </c>
      <c r="Z232">
        <v>833.54</v>
      </c>
      <c r="AA232">
        <v>185.67</v>
      </c>
      <c r="AB232">
        <v>127.92</v>
      </c>
      <c r="AC232">
        <v>51.76</v>
      </c>
      <c r="AD232">
        <v>2387.29</v>
      </c>
      <c r="AE232">
        <v>33273042</v>
      </c>
      <c r="AF232">
        <v>31640458</v>
      </c>
      <c r="AG232">
        <v>6716226</v>
      </c>
      <c r="AH232">
        <v>1398719</v>
      </c>
      <c r="AI232">
        <v>5328520</v>
      </c>
      <c r="AJ232">
        <v>78356965</v>
      </c>
      <c r="AK232">
        <v>185</v>
      </c>
      <c r="AL232">
        <v>141</v>
      </c>
      <c r="AM232">
        <v>1</v>
      </c>
      <c r="AN232">
        <v>6</v>
      </c>
      <c r="AO232">
        <v>57</v>
      </c>
      <c r="AP232">
        <v>390</v>
      </c>
      <c r="AQ232">
        <v>4394819</v>
      </c>
      <c r="AR232">
        <v>4022882</v>
      </c>
      <c r="AS232">
        <v>27720</v>
      </c>
      <c r="AT232">
        <v>152594</v>
      </c>
      <c r="AU232">
        <v>1663060</v>
      </c>
      <c r="AV232">
        <v>10261075</v>
      </c>
      <c r="AW232">
        <v>12.7</v>
      </c>
      <c r="AX232">
        <v>17.22</v>
      </c>
      <c r="AY232">
        <v>16.41</v>
      </c>
      <c r="AZ232">
        <v>4.96</v>
      </c>
      <c r="BA232">
        <v>14.89</v>
      </c>
      <c r="BB232">
        <v>10.78</v>
      </c>
      <c r="BC232">
        <v>12.94</v>
      </c>
      <c r="BD232">
        <v>12.57</v>
      </c>
      <c r="BE232">
        <v>11.54</v>
      </c>
      <c r="BF232">
        <v>11.93</v>
      </c>
      <c r="BG232">
        <v>0.49780000000000002</v>
      </c>
      <c r="BH232">
        <v>0.34920000000000001</v>
      </c>
      <c r="BI232">
        <v>7.7799999999999994E-2</v>
      </c>
      <c r="BJ232">
        <v>5.3600000000000002E-2</v>
      </c>
      <c r="BK232">
        <v>0.47439999999999999</v>
      </c>
      <c r="BL232">
        <v>0.36149999999999999</v>
      </c>
      <c r="BM232">
        <v>2.5999999999999999E-3</v>
      </c>
      <c r="BN232">
        <v>1.54E-2</v>
      </c>
      <c r="BO232">
        <v>2.15</v>
      </c>
      <c r="BP232">
        <v>4.5199999999999996</v>
      </c>
      <c r="BQ232">
        <v>3.71</v>
      </c>
      <c r="BR232">
        <v>-7.74</v>
      </c>
      <c r="BS232">
        <v>9992731.4269999992</v>
      </c>
      <c r="BT232">
        <v>692076.52</v>
      </c>
      <c r="BU232">
        <v>14.06</v>
      </c>
      <c r="BV232">
        <v>185119.74</v>
      </c>
      <c r="BW232">
        <v>12.73</v>
      </c>
      <c r="BX232">
        <v>318137.68910000002</v>
      </c>
      <c r="BY232">
        <v>7.0180870630000003</v>
      </c>
      <c r="BZ232" s="5">
        <v>158109.04999999999</v>
      </c>
      <c r="CA232" s="5">
        <v>11.07</v>
      </c>
      <c r="CB232" s="5">
        <v>134415.95000000001</v>
      </c>
      <c r="CC232" s="5">
        <v>10.86</v>
      </c>
    </row>
    <row r="233" spans="1:81" x14ac:dyDescent="0.2">
      <c r="A233" s="2">
        <v>45383</v>
      </c>
      <c r="B233">
        <v>2024</v>
      </c>
      <c r="C233">
        <v>4</v>
      </c>
      <c r="E233">
        <v>13.63</v>
      </c>
      <c r="F233">
        <v>26.5</v>
      </c>
      <c r="G233">
        <v>33.75</v>
      </c>
      <c r="J233">
        <f t="shared" si="0"/>
        <v>12.404954624638933</v>
      </c>
      <c r="K233">
        <v>1.3673999999999999</v>
      </c>
      <c r="L233">
        <v>1.0724</v>
      </c>
      <c r="M233">
        <v>153.88999999999999</v>
      </c>
      <c r="N233">
        <v>7.2374000000000001</v>
      </c>
      <c r="O233">
        <v>0.78426210299999999</v>
      </c>
      <c r="P233">
        <v>112.5420506</v>
      </c>
      <c r="Q233">
        <v>5.292818488</v>
      </c>
      <c r="R233" s="3">
        <v>1159823</v>
      </c>
      <c r="S233">
        <v>10550820</v>
      </c>
      <c r="T233" s="3">
        <f t="shared" si="1"/>
        <v>1160741.2833333334</v>
      </c>
      <c r="U233">
        <v>918.28333333333296</v>
      </c>
      <c r="Y233">
        <v>1260.26</v>
      </c>
      <c r="Z233">
        <v>835.95</v>
      </c>
      <c r="AA233">
        <v>140.05000000000001</v>
      </c>
      <c r="AB233">
        <v>125.39</v>
      </c>
      <c r="AC233">
        <v>52.62</v>
      </c>
      <c r="AD233">
        <v>2414.27</v>
      </c>
      <c r="AE233">
        <v>41393805</v>
      </c>
      <c r="AF233">
        <v>28641210</v>
      </c>
      <c r="AG233">
        <v>4728638</v>
      </c>
      <c r="AH233">
        <v>1503037</v>
      </c>
      <c r="AI233">
        <v>4566547</v>
      </c>
      <c r="AJ233">
        <v>80833237</v>
      </c>
      <c r="AK233">
        <v>282</v>
      </c>
      <c r="AL233">
        <v>195</v>
      </c>
      <c r="AM233">
        <v>5</v>
      </c>
      <c r="AN233">
        <v>4</v>
      </c>
      <c r="AO233">
        <v>87</v>
      </c>
      <c r="AP233">
        <v>573</v>
      </c>
      <c r="AQ233">
        <v>6278862</v>
      </c>
      <c r="AR233">
        <v>5520437</v>
      </c>
      <c r="AS233">
        <v>134494</v>
      </c>
      <c r="AT233">
        <v>98863</v>
      </c>
      <c r="AU233">
        <v>2382805</v>
      </c>
      <c r="AV233">
        <v>14415461</v>
      </c>
      <c r="AW233">
        <v>14.9</v>
      </c>
      <c r="AX233">
        <v>15.54</v>
      </c>
      <c r="AY233">
        <v>15.32</v>
      </c>
      <c r="AZ233">
        <v>5.44</v>
      </c>
      <c r="BA233">
        <v>15.19</v>
      </c>
      <c r="BB233">
        <v>10.1</v>
      </c>
      <c r="BC233">
        <v>12.84</v>
      </c>
      <c r="BD233">
        <v>12.2</v>
      </c>
      <c r="BE233">
        <v>11.21</v>
      </c>
      <c r="BF233">
        <v>11.41</v>
      </c>
      <c r="BG233">
        <v>0.52200000000000002</v>
      </c>
      <c r="BH233">
        <v>0.3463</v>
      </c>
      <c r="BI233">
        <v>5.8000000000000003E-2</v>
      </c>
      <c r="BJ233">
        <v>5.1900000000000002E-2</v>
      </c>
      <c r="BK233">
        <v>0.49209999999999998</v>
      </c>
      <c r="BL233">
        <v>0.34029999999999999</v>
      </c>
      <c r="BM233">
        <v>8.6999999999999994E-3</v>
      </c>
      <c r="BN233">
        <v>7.0000000000000001E-3</v>
      </c>
      <c r="BO233">
        <v>0.32</v>
      </c>
      <c r="BP233">
        <v>0.64</v>
      </c>
      <c r="BQ233">
        <v>0.42</v>
      </c>
      <c r="BR233">
        <v>-9.4600000000000009</v>
      </c>
      <c r="BS233">
        <v>4280271.4349999996</v>
      </c>
      <c r="BT233">
        <v>799825.11</v>
      </c>
      <c r="BU233">
        <v>12.4</v>
      </c>
      <c r="BV233">
        <v>30842.63</v>
      </c>
      <c r="BW233">
        <v>13.99</v>
      </c>
      <c r="BX233">
        <v>15844.603940000001</v>
      </c>
      <c r="BY233">
        <v>7.8395143530000002</v>
      </c>
      <c r="BZ233" s="5">
        <v>34841.879999999997</v>
      </c>
      <c r="CA233" s="5">
        <v>9.1300000000000008</v>
      </c>
      <c r="CB233" s="5">
        <v>80215.259999999995</v>
      </c>
      <c r="CC233" s="5">
        <v>7.66</v>
      </c>
    </row>
    <row r="234" spans="1:81" x14ac:dyDescent="0.2">
      <c r="A234" s="2">
        <v>45413</v>
      </c>
      <c r="B234">
        <v>2024</v>
      </c>
      <c r="C234">
        <v>5</v>
      </c>
      <c r="E234">
        <v>7.11</v>
      </c>
      <c r="F234">
        <v>22.67</v>
      </c>
      <c r="G234">
        <v>31.21</v>
      </c>
      <c r="H234">
        <v>8.25</v>
      </c>
      <c r="I234">
        <v>8.58</v>
      </c>
      <c r="J234">
        <f t="shared" si="0"/>
        <v>9.096922547664601</v>
      </c>
      <c r="K234">
        <v>1.3667</v>
      </c>
      <c r="L234">
        <v>1.081</v>
      </c>
      <c r="M234">
        <v>155.8691</v>
      </c>
      <c r="N234">
        <v>7.2327000000000004</v>
      </c>
      <c r="O234">
        <v>0.79095631799999999</v>
      </c>
      <c r="P234">
        <v>114.0477793</v>
      </c>
      <c r="Q234">
        <v>5.2920904369999997</v>
      </c>
      <c r="R234" s="3">
        <v>2508668</v>
      </c>
      <c r="S234">
        <v>14867897</v>
      </c>
      <c r="T234" s="3">
        <f t="shared" si="1"/>
        <v>2542239.3416666668</v>
      </c>
      <c r="U234">
        <v>33571.341666666602</v>
      </c>
      <c r="Y234">
        <v>4477.79</v>
      </c>
      <c r="Z234">
        <v>1807.27</v>
      </c>
      <c r="AA234">
        <v>451.79</v>
      </c>
      <c r="AB234">
        <v>288.08999999999997</v>
      </c>
      <c r="AC234">
        <v>51.48</v>
      </c>
      <c r="AD234">
        <v>7076.42</v>
      </c>
      <c r="AE234">
        <v>96299909</v>
      </c>
      <c r="AF234">
        <v>44954260</v>
      </c>
      <c r="AG234">
        <v>11329533</v>
      </c>
      <c r="AH234">
        <v>757203</v>
      </c>
      <c r="AI234">
        <v>7593599</v>
      </c>
      <c r="AJ234">
        <v>160934504</v>
      </c>
      <c r="AK234">
        <v>237</v>
      </c>
      <c r="AL234">
        <v>251</v>
      </c>
      <c r="AM234">
        <v>2</v>
      </c>
      <c r="AN234">
        <v>41</v>
      </c>
      <c r="AO234">
        <v>75</v>
      </c>
      <c r="AP234">
        <v>606</v>
      </c>
      <c r="AQ234">
        <v>4932425</v>
      </c>
      <c r="AR234">
        <v>6010279</v>
      </c>
      <c r="AS234">
        <v>40260</v>
      </c>
      <c r="AT234">
        <v>663182</v>
      </c>
      <c r="AU234">
        <v>2057341</v>
      </c>
      <c r="AV234">
        <v>13703487</v>
      </c>
      <c r="AW234">
        <v>9.76</v>
      </c>
      <c r="AX234">
        <v>11.28</v>
      </c>
      <c r="AY234">
        <v>11.37</v>
      </c>
      <c r="AZ234">
        <v>1.19</v>
      </c>
      <c r="BA234">
        <v>10.32</v>
      </c>
      <c r="BB234">
        <v>9.44</v>
      </c>
      <c r="BC234">
        <v>10.86</v>
      </c>
      <c r="BD234">
        <v>9.1300000000000008</v>
      </c>
      <c r="BE234">
        <v>7.34</v>
      </c>
      <c r="BF234">
        <v>10.26</v>
      </c>
      <c r="BG234">
        <v>0.63280000000000003</v>
      </c>
      <c r="BH234">
        <v>0.25540000000000002</v>
      </c>
      <c r="BI234">
        <v>6.3799999999999996E-2</v>
      </c>
      <c r="BJ234">
        <v>4.07E-2</v>
      </c>
      <c r="BK234">
        <v>0.3911</v>
      </c>
      <c r="BL234">
        <v>0.41420000000000001</v>
      </c>
      <c r="BM234">
        <v>3.3E-3</v>
      </c>
      <c r="BN234">
        <v>6.7699999999999996E-2</v>
      </c>
      <c r="BO234">
        <v>0.2</v>
      </c>
      <c r="BP234">
        <v>1.52</v>
      </c>
      <c r="BQ234">
        <v>1.62</v>
      </c>
      <c r="BR234">
        <v>-8.56</v>
      </c>
      <c r="BS234">
        <v>7462292.9249999998</v>
      </c>
      <c r="BT234">
        <v>58989.02</v>
      </c>
      <c r="BU234">
        <v>2.34</v>
      </c>
      <c r="BV234">
        <v>2406805.7000000002</v>
      </c>
      <c r="BW234">
        <v>13.77</v>
      </c>
      <c r="BX234">
        <v>133787.36470000001</v>
      </c>
      <c r="BY234">
        <v>4.3424878070000004</v>
      </c>
      <c r="BZ234" s="5">
        <v>302789.73</v>
      </c>
      <c r="CA234" s="5">
        <v>5.98</v>
      </c>
      <c r="CB234" s="5">
        <v>75239.42</v>
      </c>
      <c r="CC234" s="5">
        <v>8.52</v>
      </c>
    </row>
    <row r="235" spans="1:81" x14ac:dyDescent="0.2">
      <c r="A235" s="2">
        <v>45444</v>
      </c>
      <c r="B235">
        <v>2024</v>
      </c>
      <c r="C235">
        <v>6</v>
      </c>
      <c r="E235">
        <v>6.24</v>
      </c>
      <c r="F235">
        <v>20.66</v>
      </c>
      <c r="G235">
        <v>29</v>
      </c>
      <c r="H235">
        <v>6.75</v>
      </c>
      <c r="I235">
        <v>6.75</v>
      </c>
      <c r="J235">
        <f t="shared" si="0"/>
        <v>5.9266100576082605</v>
      </c>
      <c r="K235">
        <v>1.3705000000000001</v>
      </c>
      <c r="L235">
        <v>1.0763</v>
      </c>
      <c r="M235">
        <v>157.86000000000001</v>
      </c>
      <c r="N235">
        <v>7.2546999999999997</v>
      </c>
      <c r="O235">
        <v>0.78533381999999996</v>
      </c>
      <c r="P235">
        <v>115.1842393</v>
      </c>
      <c r="Q235">
        <v>5.293469537</v>
      </c>
      <c r="R235" s="3">
        <v>3586193</v>
      </c>
      <c r="S235">
        <v>17463635</v>
      </c>
      <c r="T235" s="3">
        <f t="shared" si="1"/>
        <v>3608377.3250000002</v>
      </c>
      <c r="U235">
        <v>22184.325000000001</v>
      </c>
      <c r="Y235">
        <v>5051.28</v>
      </c>
      <c r="Z235">
        <v>2057.06</v>
      </c>
      <c r="AA235">
        <v>559.74</v>
      </c>
      <c r="AB235">
        <v>304.32</v>
      </c>
      <c r="AC235">
        <v>49.43</v>
      </c>
      <c r="AD235">
        <v>8021.83</v>
      </c>
      <c r="AE235">
        <v>95583666</v>
      </c>
      <c r="AF235">
        <v>55068765</v>
      </c>
      <c r="AG235">
        <v>12726904</v>
      </c>
      <c r="AH235">
        <v>767840</v>
      </c>
      <c r="AI235">
        <v>7865670</v>
      </c>
      <c r="AJ235">
        <v>172012845</v>
      </c>
      <c r="AK235">
        <v>430</v>
      </c>
      <c r="AL235">
        <v>290</v>
      </c>
      <c r="AM235">
        <v>1</v>
      </c>
      <c r="AN235">
        <v>125</v>
      </c>
      <c r="AO235">
        <v>74</v>
      </c>
      <c r="AP235">
        <v>920</v>
      </c>
      <c r="AQ235">
        <v>8778589</v>
      </c>
      <c r="AR235">
        <v>6789684</v>
      </c>
      <c r="AS235">
        <v>19500</v>
      </c>
      <c r="AT235">
        <v>1586524</v>
      </c>
      <c r="AU235">
        <v>2143453</v>
      </c>
      <c r="AV235">
        <v>19317750</v>
      </c>
      <c r="AW235">
        <v>8.58</v>
      </c>
      <c r="AX235">
        <v>12.14</v>
      </c>
      <c r="AY235">
        <v>10.31</v>
      </c>
      <c r="AZ235">
        <v>1.1399999999999999</v>
      </c>
      <c r="BA235">
        <v>9.73</v>
      </c>
      <c r="BB235">
        <v>9.26</v>
      </c>
      <c r="BC235">
        <v>10.62</v>
      </c>
      <c r="BD235">
        <v>8.85</v>
      </c>
      <c r="BE235">
        <v>5.76</v>
      </c>
      <c r="BF235">
        <v>9.52</v>
      </c>
      <c r="BG235">
        <v>0.62970000000000004</v>
      </c>
      <c r="BH235">
        <v>0.25640000000000002</v>
      </c>
      <c r="BI235">
        <v>6.9800000000000001E-2</v>
      </c>
      <c r="BJ235">
        <v>3.7900000000000003E-2</v>
      </c>
      <c r="BK235">
        <v>0.46739999999999998</v>
      </c>
      <c r="BL235">
        <v>0.31519999999999998</v>
      </c>
      <c r="BM235">
        <v>1.1000000000000001E-3</v>
      </c>
      <c r="BN235">
        <v>0.13589999999999999</v>
      </c>
      <c r="BO235">
        <v>-0.51</v>
      </c>
      <c r="BP235">
        <v>3.56</v>
      </c>
      <c r="BQ235">
        <v>1.73</v>
      </c>
      <c r="BR235">
        <v>-7.44</v>
      </c>
      <c r="BS235">
        <v>32659349.59</v>
      </c>
      <c r="BT235">
        <v>918793.02</v>
      </c>
      <c r="BU235">
        <v>14.27</v>
      </c>
      <c r="BV235">
        <v>14325.62</v>
      </c>
      <c r="BW235">
        <v>4.04</v>
      </c>
      <c r="BX235">
        <v>673753.91819999996</v>
      </c>
      <c r="BY235">
        <v>6.8582176300000004</v>
      </c>
      <c r="BZ235" s="5">
        <v>1743780.75</v>
      </c>
      <c r="CA235" s="5">
        <v>8.83</v>
      </c>
      <c r="CB235" s="5">
        <v>450876.56</v>
      </c>
      <c r="CC235" s="5">
        <v>8.2200000000000006</v>
      </c>
    </row>
    <row r="236" spans="1:81" x14ac:dyDescent="0.2">
      <c r="A236" s="2">
        <v>45474</v>
      </c>
      <c r="B236">
        <v>2024</v>
      </c>
      <c r="C236">
        <v>7</v>
      </c>
      <c r="E236">
        <v>8.5299999999999994</v>
      </c>
      <c r="F236">
        <v>20.5</v>
      </c>
      <c r="G236">
        <v>28.25</v>
      </c>
      <c r="J236">
        <f t="shared" si="0"/>
        <v>4.8696863219575741</v>
      </c>
      <c r="K236">
        <v>1.3714</v>
      </c>
      <c r="L236">
        <v>1.0847</v>
      </c>
      <c r="M236">
        <v>157.51820000000001</v>
      </c>
      <c r="N236">
        <v>7.2609000000000004</v>
      </c>
      <c r="O236">
        <v>0.79094356099999996</v>
      </c>
      <c r="P236">
        <v>114.8594137</v>
      </c>
      <c r="Q236">
        <v>5.2945165520000002</v>
      </c>
      <c r="R236" s="3">
        <v>12671287</v>
      </c>
      <c r="S236">
        <v>61501327</v>
      </c>
      <c r="T236" s="3">
        <f t="shared" si="1"/>
        <v>12674234.199999999</v>
      </c>
      <c r="U236">
        <v>2947.2</v>
      </c>
      <c r="Y236">
        <v>1317.19</v>
      </c>
      <c r="Z236">
        <v>1562.53</v>
      </c>
      <c r="AA236">
        <v>423.39</v>
      </c>
      <c r="AB236">
        <v>247.58</v>
      </c>
      <c r="AC236">
        <v>67.77</v>
      </c>
      <c r="AD236">
        <v>3618.46</v>
      </c>
      <c r="AE236">
        <v>30161857</v>
      </c>
      <c r="AF236">
        <v>40065192</v>
      </c>
      <c r="AG236">
        <v>11297555</v>
      </c>
      <c r="AH236">
        <v>1353339</v>
      </c>
      <c r="AI236">
        <v>7047651</v>
      </c>
      <c r="AJ236">
        <v>89925594</v>
      </c>
      <c r="AK236">
        <v>600</v>
      </c>
      <c r="AL236">
        <v>282</v>
      </c>
      <c r="AM236">
        <v>0</v>
      </c>
      <c r="AN236">
        <v>2046</v>
      </c>
      <c r="AO236">
        <v>96</v>
      </c>
      <c r="AP236">
        <v>3024</v>
      </c>
      <c r="AQ236">
        <v>10755881</v>
      </c>
      <c r="AR236">
        <v>6564712</v>
      </c>
      <c r="AS236">
        <v>0</v>
      </c>
      <c r="AT236">
        <v>28228734</v>
      </c>
      <c r="AU236">
        <v>2713474</v>
      </c>
      <c r="AV236">
        <v>48262801</v>
      </c>
      <c r="AW236">
        <v>10.39</v>
      </c>
      <c r="AX236">
        <v>11.63</v>
      </c>
      <c r="AY236">
        <v>12.1</v>
      </c>
      <c r="AZ236">
        <v>2.48</v>
      </c>
      <c r="BA236">
        <v>11.27</v>
      </c>
      <c r="BB236">
        <v>8.1300000000000008</v>
      </c>
      <c r="BC236">
        <v>10.56</v>
      </c>
      <c r="BE236">
        <v>6.26</v>
      </c>
      <c r="BF236">
        <v>7.24</v>
      </c>
      <c r="BG236">
        <v>0.36399999999999999</v>
      </c>
      <c r="BH236">
        <v>0.43180000000000002</v>
      </c>
      <c r="BI236">
        <v>0.11700000000000001</v>
      </c>
      <c r="BJ236">
        <v>6.8400000000000002E-2</v>
      </c>
      <c r="BK236">
        <v>0.19839999999999999</v>
      </c>
      <c r="BL236">
        <v>9.3299999999999994E-2</v>
      </c>
      <c r="BM236">
        <v>0</v>
      </c>
      <c r="BN236">
        <v>0.67659999999999998</v>
      </c>
      <c r="BO236">
        <v>-1.32</v>
      </c>
      <c r="BP236">
        <v>1.24</v>
      </c>
      <c r="BQ236">
        <v>1.72</v>
      </c>
      <c r="BR236">
        <v>-7.91</v>
      </c>
      <c r="BS236">
        <v>36395747.909999996</v>
      </c>
      <c r="BT236">
        <v>1075089.56</v>
      </c>
      <c r="BU236">
        <v>12.65</v>
      </c>
      <c r="BV236">
        <v>690401</v>
      </c>
      <c r="BW236">
        <v>13.8</v>
      </c>
      <c r="BX236">
        <v>515572.43320000003</v>
      </c>
      <c r="BY236">
        <v>7.584404728</v>
      </c>
      <c r="BZ236" s="5">
        <v>1852462.12</v>
      </c>
      <c r="CA236" s="5">
        <v>9.19</v>
      </c>
      <c r="CB236" s="5">
        <v>689582.27</v>
      </c>
      <c r="CC236" s="5">
        <v>10.29</v>
      </c>
    </row>
    <row r="237" spans="1:81" x14ac:dyDescent="0.2">
      <c r="A237" s="2">
        <v>45505</v>
      </c>
      <c r="B237">
        <v>2024</v>
      </c>
      <c r="C237">
        <v>8</v>
      </c>
      <c r="E237">
        <v>9.9499999999999993</v>
      </c>
      <c r="F237">
        <v>21.03</v>
      </c>
      <c r="G237">
        <v>29.31</v>
      </c>
      <c r="J237">
        <f t="shared" si="0"/>
        <v>4.8535975074986464</v>
      </c>
      <c r="K237">
        <v>1.3654999999999999</v>
      </c>
      <c r="L237">
        <v>1.1020000000000001</v>
      </c>
      <c r="M237">
        <v>146.26410000000001</v>
      </c>
      <c r="N237">
        <v>7.1475</v>
      </c>
      <c r="O237">
        <v>0.80703039200000004</v>
      </c>
      <c r="P237">
        <v>107.11395090000001</v>
      </c>
      <c r="Q237">
        <v>5.234346393</v>
      </c>
      <c r="R237" s="3">
        <v>17799683</v>
      </c>
      <c r="S237">
        <v>92891705</v>
      </c>
      <c r="T237" s="3">
        <f t="shared" si="1"/>
        <v>17800461.583333332</v>
      </c>
      <c r="U237">
        <v>778.58333333333303</v>
      </c>
      <c r="Y237">
        <v>635.70000000000005</v>
      </c>
      <c r="Z237">
        <v>1513.09</v>
      </c>
      <c r="AA237">
        <v>358.64</v>
      </c>
      <c r="AB237">
        <v>180.21</v>
      </c>
      <c r="AC237">
        <v>44.48</v>
      </c>
      <c r="AD237">
        <v>2732.12</v>
      </c>
      <c r="AE237">
        <v>16282965</v>
      </c>
      <c r="AF237">
        <v>41843586</v>
      </c>
      <c r="AG237">
        <v>10614447</v>
      </c>
      <c r="AH237">
        <v>1009318</v>
      </c>
      <c r="AI237">
        <v>5441644</v>
      </c>
      <c r="AJ237">
        <v>75191960</v>
      </c>
      <c r="AK237">
        <v>1200</v>
      </c>
      <c r="AL237">
        <v>297</v>
      </c>
      <c r="AM237">
        <v>1</v>
      </c>
      <c r="AN237">
        <v>3244</v>
      </c>
      <c r="AO237">
        <v>78</v>
      </c>
      <c r="AP237">
        <v>4820</v>
      </c>
      <c r="AQ237">
        <v>21561981</v>
      </c>
      <c r="AR237">
        <v>7061365</v>
      </c>
      <c r="AS237">
        <v>11880</v>
      </c>
      <c r="AT237">
        <v>47373098</v>
      </c>
      <c r="AU237">
        <v>2160191</v>
      </c>
      <c r="AV237">
        <v>78168515</v>
      </c>
      <c r="AW237">
        <v>11.62</v>
      </c>
      <c r="AX237">
        <v>12.54</v>
      </c>
      <c r="AY237">
        <v>13.42</v>
      </c>
      <c r="AZ237">
        <v>2.54</v>
      </c>
      <c r="BA237">
        <v>12.48</v>
      </c>
      <c r="BB237">
        <v>8.15</v>
      </c>
      <c r="BC237">
        <v>10.78</v>
      </c>
      <c r="BD237">
        <v>5.39</v>
      </c>
      <c r="BE237">
        <v>6.62</v>
      </c>
      <c r="BF237">
        <v>7.36</v>
      </c>
      <c r="BG237">
        <v>0.23269999999999999</v>
      </c>
      <c r="BH237">
        <v>0.55379999999999996</v>
      </c>
      <c r="BI237">
        <v>0.1313</v>
      </c>
      <c r="BJ237">
        <v>6.6000000000000003E-2</v>
      </c>
      <c r="BK237">
        <v>0.249</v>
      </c>
      <c r="BL237">
        <v>6.1600000000000002E-2</v>
      </c>
      <c r="BM237">
        <v>2.0000000000000001E-4</v>
      </c>
      <c r="BN237">
        <v>0.67300000000000004</v>
      </c>
      <c r="BO237">
        <v>-1.88</v>
      </c>
      <c r="BP237">
        <v>0.92</v>
      </c>
      <c r="BQ237">
        <v>1.81</v>
      </c>
      <c r="BR237">
        <v>-9.08</v>
      </c>
      <c r="BS237">
        <v>24647297.5</v>
      </c>
      <c r="BT237">
        <v>97307.520000000004</v>
      </c>
      <c r="BU237">
        <v>3.52</v>
      </c>
      <c r="BV237">
        <v>462725.49</v>
      </c>
      <c r="BW237">
        <v>14.86</v>
      </c>
      <c r="BX237">
        <v>117618.6816</v>
      </c>
      <c r="BY237">
        <v>8.8088132409999993</v>
      </c>
      <c r="BZ237" s="5">
        <v>1253589.1299999999</v>
      </c>
      <c r="CA237" s="5">
        <v>8.33</v>
      </c>
      <c r="CB237" s="5">
        <v>520926.29</v>
      </c>
      <c r="CC237" s="5">
        <v>8.8699999999999992</v>
      </c>
    </row>
    <row r="238" spans="1:81" x14ac:dyDescent="0.2">
      <c r="A238" s="2">
        <v>45536</v>
      </c>
      <c r="B238">
        <v>2024</v>
      </c>
      <c r="C238">
        <v>9</v>
      </c>
      <c r="E238">
        <v>10.07</v>
      </c>
      <c r="F238">
        <v>22.78</v>
      </c>
      <c r="G238">
        <v>33.53</v>
      </c>
      <c r="J238">
        <f t="shared" si="0"/>
        <v>5.2187280526288022</v>
      </c>
      <c r="K238">
        <v>1.3546</v>
      </c>
      <c r="L238">
        <v>1.1104000000000001</v>
      </c>
      <c r="M238">
        <v>142.95400000000001</v>
      </c>
      <c r="N238">
        <v>7.0759999999999996</v>
      </c>
      <c r="O238">
        <v>0.81972537999999995</v>
      </c>
      <c r="P238">
        <v>105.5322604</v>
      </c>
      <c r="Q238">
        <v>5.2236822680000001</v>
      </c>
      <c r="R238" s="3">
        <v>14013865</v>
      </c>
      <c r="S238">
        <v>87929239</v>
      </c>
      <c r="T238" s="3">
        <f t="shared" si="1"/>
        <v>14014643.583333334</v>
      </c>
      <c r="U238">
        <v>778.58333333333303</v>
      </c>
      <c r="Y238">
        <v>373.28</v>
      </c>
      <c r="Z238">
        <v>1646.42</v>
      </c>
      <c r="AA238">
        <v>231.3</v>
      </c>
      <c r="AB238">
        <v>192.17</v>
      </c>
      <c r="AC238">
        <v>89.29</v>
      </c>
      <c r="AD238">
        <v>2532.46</v>
      </c>
      <c r="AE238">
        <v>9916434</v>
      </c>
      <c r="AF238">
        <v>50435268</v>
      </c>
      <c r="AG238">
        <v>6861971</v>
      </c>
      <c r="AH238">
        <v>1354329</v>
      </c>
      <c r="AI238">
        <v>6921454</v>
      </c>
      <c r="AJ238">
        <v>75489456</v>
      </c>
      <c r="AK238">
        <v>1148</v>
      </c>
      <c r="AL238">
        <v>346</v>
      </c>
      <c r="AM238">
        <v>0</v>
      </c>
      <c r="AN238">
        <v>3181</v>
      </c>
      <c r="AO238">
        <v>98</v>
      </c>
      <c r="AP238">
        <v>4773</v>
      </c>
      <c r="AQ238">
        <v>21414720</v>
      </c>
      <c r="AR238">
        <v>8365264</v>
      </c>
      <c r="AS238">
        <v>14850</v>
      </c>
      <c r="AT238">
        <v>52991916</v>
      </c>
      <c r="AU238">
        <v>2748566</v>
      </c>
      <c r="AV238">
        <v>85535316</v>
      </c>
      <c r="AW238">
        <v>12.05</v>
      </c>
      <c r="AX238">
        <v>13.9</v>
      </c>
      <c r="AY238">
        <v>13.46</v>
      </c>
      <c r="AZ238">
        <v>3.2</v>
      </c>
      <c r="BA238">
        <v>13.52</v>
      </c>
      <c r="BB238">
        <v>8.4600000000000009</v>
      </c>
      <c r="BC238">
        <v>10.97</v>
      </c>
      <c r="BE238">
        <v>7.56</v>
      </c>
      <c r="BF238">
        <v>8.1300000000000008</v>
      </c>
      <c r="BG238">
        <v>0.1474</v>
      </c>
      <c r="BH238">
        <v>0.65010000000000001</v>
      </c>
      <c r="BI238">
        <v>9.1300000000000006E-2</v>
      </c>
      <c r="BJ238">
        <v>7.5899999999999995E-2</v>
      </c>
      <c r="BK238">
        <v>0.24049999999999999</v>
      </c>
      <c r="BL238">
        <v>7.2499999999999995E-2</v>
      </c>
      <c r="BM238">
        <v>0</v>
      </c>
      <c r="BN238">
        <v>0.66649999999999998</v>
      </c>
      <c r="BO238">
        <v>-1.34</v>
      </c>
      <c r="BP238">
        <v>1.85</v>
      </c>
      <c r="BQ238">
        <v>1.41</v>
      </c>
      <c r="BR238">
        <v>-8.85</v>
      </c>
      <c r="BS238">
        <v>13142300.439999999</v>
      </c>
      <c r="BT238">
        <v>128754.22</v>
      </c>
      <c r="BU238">
        <v>2.06</v>
      </c>
      <c r="BV238">
        <v>40221.089999999997</v>
      </c>
      <c r="BW238">
        <v>3.83</v>
      </c>
      <c r="BX238">
        <v>19801.896840000001</v>
      </c>
      <c r="BY238">
        <v>11.189231100000001</v>
      </c>
      <c r="BZ238" s="5">
        <v>1086090.58</v>
      </c>
      <c r="CA238" s="5">
        <v>8.6300000000000008</v>
      </c>
      <c r="CB238" s="5">
        <v>182882.41</v>
      </c>
      <c r="CC238" s="5">
        <v>8.11</v>
      </c>
    </row>
    <row r="239" spans="1:81" x14ac:dyDescent="0.2">
      <c r="A239" s="2">
        <v>45566</v>
      </c>
      <c r="B239">
        <v>2024</v>
      </c>
      <c r="C239">
        <v>10</v>
      </c>
      <c r="E239">
        <v>10.84</v>
      </c>
      <c r="F239">
        <v>23.5</v>
      </c>
      <c r="G239">
        <v>37.450000000000003</v>
      </c>
      <c r="I239">
        <v>12</v>
      </c>
      <c r="J239">
        <f t="shared" si="0"/>
        <v>6.2744459861715525</v>
      </c>
      <c r="K239">
        <v>1.3756999999999999</v>
      </c>
      <c r="L239">
        <v>1.0894999999999999</v>
      </c>
      <c r="M239">
        <v>149.89089999999999</v>
      </c>
      <c r="N239">
        <v>7.0880999999999998</v>
      </c>
      <c r="O239">
        <v>0.79196045599999998</v>
      </c>
      <c r="P239">
        <v>108.9560951</v>
      </c>
      <c r="Q239">
        <v>5.1523587989999999</v>
      </c>
      <c r="R239" s="3">
        <v>14825869</v>
      </c>
      <c r="S239">
        <v>98635083</v>
      </c>
      <c r="T239" s="3">
        <f t="shared" si="1"/>
        <v>14827214.983333332</v>
      </c>
      <c r="U239">
        <v>1345.9833333333299</v>
      </c>
      <c r="Y239">
        <v>200.83</v>
      </c>
      <c r="Z239">
        <v>602.11</v>
      </c>
      <c r="AA239">
        <v>151.78</v>
      </c>
      <c r="AB239">
        <v>143.22</v>
      </c>
      <c r="AC239">
        <v>48.7</v>
      </c>
      <c r="AD239">
        <v>1146.6400000000001</v>
      </c>
      <c r="AE239">
        <v>5745266</v>
      </c>
      <c r="AF239">
        <v>17894173</v>
      </c>
      <c r="AG239">
        <v>4787494</v>
      </c>
      <c r="AH239">
        <v>1422436</v>
      </c>
      <c r="AI239">
        <v>4326486</v>
      </c>
      <c r="AJ239">
        <v>34175855</v>
      </c>
      <c r="AK239">
        <v>1338</v>
      </c>
      <c r="AL239">
        <v>305</v>
      </c>
      <c r="AM239">
        <v>6</v>
      </c>
      <c r="AN239">
        <v>3577</v>
      </c>
      <c r="AO239">
        <v>135</v>
      </c>
      <c r="AP239">
        <v>5361</v>
      </c>
      <c r="AQ239">
        <v>25671663</v>
      </c>
      <c r="AR239">
        <v>7288887</v>
      </c>
      <c r="AS239">
        <v>172306</v>
      </c>
      <c r="AT239">
        <v>63955785</v>
      </c>
      <c r="AU239">
        <v>3625817</v>
      </c>
      <c r="AV239">
        <v>100714458</v>
      </c>
      <c r="AW239">
        <v>12.98</v>
      </c>
      <c r="AX239">
        <v>13.48</v>
      </c>
      <c r="AY239">
        <v>14.31</v>
      </c>
      <c r="AZ239">
        <v>4.51</v>
      </c>
      <c r="BA239">
        <v>13.52</v>
      </c>
      <c r="BB239">
        <v>8.6999999999999993</v>
      </c>
      <c r="BC239">
        <v>10.84</v>
      </c>
      <c r="BD239">
        <v>13.03</v>
      </c>
      <c r="BE239">
        <v>8.11</v>
      </c>
      <c r="BF239">
        <v>8.52</v>
      </c>
      <c r="BG239">
        <v>0.17510000000000001</v>
      </c>
      <c r="BH239">
        <v>0.52510000000000001</v>
      </c>
      <c r="BI239">
        <v>0.13239999999999999</v>
      </c>
      <c r="BJ239">
        <v>0.1249</v>
      </c>
      <c r="BK239">
        <v>0.24959999999999999</v>
      </c>
      <c r="BL239">
        <v>5.6899999999999999E-2</v>
      </c>
      <c r="BM239">
        <v>1.1000000000000001E-3</v>
      </c>
      <c r="BN239">
        <v>0.66720000000000002</v>
      </c>
      <c r="BO239">
        <v>-1.32</v>
      </c>
      <c r="BP239">
        <v>0.5</v>
      </c>
      <c r="BQ239">
        <v>1.33</v>
      </c>
      <c r="BR239">
        <v>-8.4700000000000006</v>
      </c>
      <c r="BS239">
        <v>5650561.5080000004</v>
      </c>
      <c r="BT239">
        <v>864241.9</v>
      </c>
      <c r="BU239">
        <v>10.87</v>
      </c>
      <c r="BV239">
        <v>417475.66</v>
      </c>
      <c r="BW239">
        <v>13.54</v>
      </c>
      <c r="BX239">
        <v>110305.9571</v>
      </c>
      <c r="BY239">
        <v>5.124093158</v>
      </c>
      <c r="BZ239" s="5">
        <v>514345.49</v>
      </c>
      <c r="CA239" s="5">
        <v>8.6</v>
      </c>
      <c r="CB239" s="5">
        <v>161691.56</v>
      </c>
      <c r="CC239" s="5">
        <v>15.19</v>
      </c>
    </row>
    <row r="240" spans="1:81" x14ac:dyDescent="0.2">
      <c r="A240" s="2">
        <v>45597</v>
      </c>
      <c r="B240">
        <v>2024</v>
      </c>
      <c r="C240">
        <v>11</v>
      </c>
      <c r="E240">
        <v>11.16</v>
      </c>
      <c r="F240">
        <v>23.5</v>
      </c>
      <c r="G240">
        <v>38.94</v>
      </c>
      <c r="I240">
        <v>11</v>
      </c>
      <c r="J240">
        <f t="shared" si="0"/>
        <v>6.6529039882923557</v>
      </c>
      <c r="K240">
        <v>1.3973</v>
      </c>
      <c r="L240">
        <v>1.0621</v>
      </c>
      <c r="M240">
        <v>153.71260000000001</v>
      </c>
      <c r="N240">
        <v>7.2062999999999997</v>
      </c>
      <c r="O240">
        <v>0.76010878100000001</v>
      </c>
      <c r="P240">
        <v>110.0068704</v>
      </c>
      <c r="Q240">
        <v>5.1573033710000002</v>
      </c>
      <c r="R240" s="3">
        <v>9117925</v>
      </c>
      <c r="S240">
        <v>62137463</v>
      </c>
      <c r="T240" s="3">
        <f t="shared" si="1"/>
        <v>9120552.6500000004</v>
      </c>
      <c r="U240">
        <v>2627.65</v>
      </c>
      <c r="Y240">
        <v>553.70000000000005</v>
      </c>
      <c r="Z240">
        <v>512.66</v>
      </c>
      <c r="AA240">
        <v>130.22</v>
      </c>
      <c r="AB240">
        <v>121.36</v>
      </c>
      <c r="AC240">
        <v>40.229999999999997</v>
      </c>
      <c r="AD240">
        <v>1358.17</v>
      </c>
      <c r="AE240">
        <v>16712722</v>
      </c>
      <c r="AF240">
        <v>15606861</v>
      </c>
      <c r="AG240">
        <v>4224566</v>
      </c>
      <c r="AH240">
        <v>1182822</v>
      </c>
      <c r="AI240">
        <v>3794585</v>
      </c>
      <c r="AJ240">
        <v>41521556</v>
      </c>
      <c r="AK240">
        <v>1008</v>
      </c>
      <c r="AL240">
        <v>246</v>
      </c>
      <c r="AM240">
        <v>4</v>
      </c>
      <c r="AN240">
        <v>1982</v>
      </c>
      <c r="AO240">
        <v>112</v>
      </c>
      <c r="AP240">
        <v>3352</v>
      </c>
      <c r="AQ240">
        <v>19606888</v>
      </c>
      <c r="AR240">
        <v>5572112</v>
      </c>
      <c r="AS240">
        <v>105664</v>
      </c>
      <c r="AT240">
        <v>35558073</v>
      </c>
      <c r="AU240">
        <v>2954048</v>
      </c>
      <c r="AV240">
        <v>63796785</v>
      </c>
      <c r="AW240">
        <v>13.69</v>
      </c>
      <c r="AX240">
        <v>13.81</v>
      </c>
      <c r="AY240">
        <v>14.72</v>
      </c>
      <c r="AZ240">
        <v>4.42</v>
      </c>
      <c r="BA240">
        <v>13.87</v>
      </c>
      <c r="BB240">
        <v>8.82</v>
      </c>
      <c r="BC240">
        <v>10.27</v>
      </c>
      <c r="BD240">
        <v>11.98</v>
      </c>
      <c r="BE240">
        <v>8.14</v>
      </c>
      <c r="BF240">
        <v>8.6300000000000008</v>
      </c>
      <c r="BG240">
        <v>0.40770000000000001</v>
      </c>
      <c r="BH240">
        <v>0.3775</v>
      </c>
      <c r="BI240">
        <v>9.5899999999999999E-2</v>
      </c>
      <c r="BJ240">
        <v>8.9399999999999993E-2</v>
      </c>
      <c r="BK240">
        <v>0.30070000000000002</v>
      </c>
      <c r="BL240">
        <v>7.3400000000000007E-2</v>
      </c>
      <c r="BM240">
        <v>1.1999999999999999E-3</v>
      </c>
      <c r="BN240">
        <v>0.59130000000000005</v>
      </c>
      <c r="BO240">
        <v>-1.66</v>
      </c>
      <c r="BP240">
        <v>0.12</v>
      </c>
      <c r="BQ240">
        <v>1.02</v>
      </c>
      <c r="BR240">
        <v>-9.27</v>
      </c>
      <c r="BS240">
        <v>7147172.2589999996</v>
      </c>
      <c r="BT240">
        <v>671260.49</v>
      </c>
      <c r="BU240">
        <v>12.74</v>
      </c>
      <c r="BV240">
        <v>21783.85</v>
      </c>
      <c r="BW240">
        <v>4.09</v>
      </c>
      <c r="BX240">
        <v>282506.62070000003</v>
      </c>
      <c r="BY240">
        <v>7.8551999769999998</v>
      </c>
      <c r="BZ240" s="5">
        <v>374054.22</v>
      </c>
      <c r="CA240" s="5">
        <v>9.35</v>
      </c>
      <c r="CB240" s="5">
        <v>151545.88</v>
      </c>
      <c r="CC240" s="5">
        <v>12.73</v>
      </c>
    </row>
    <row r="241" spans="1:81" x14ac:dyDescent="0.2">
      <c r="A241" s="2">
        <v>45627</v>
      </c>
      <c r="B241">
        <v>2024</v>
      </c>
      <c r="C241">
        <v>12</v>
      </c>
      <c r="E241">
        <v>11.36</v>
      </c>
      <c r="F241">
        <v>23.5</v>
      </c>
      <c r="G241">
        <v>39.44</v>
      </c>
      <c r="I241">
        <v>11.69</v>
      </c>
      <c r="J241">
        <f t="shared" si="0"/>
        <v>6.8148688435142866</v>
      </c>
      <c r="K241">
        <v>1.4247000000000001</v>
      </c>
      <c r="L241">
        <v>1.0471999999999999</v>
      </c>
      <c r="M241">
        <v>153.8143</v>
      </c>
      <c r="N241">
        <v>7.2807000000000004</v>
      </c>
      <c r="O241">
        <v>0.73503193700000002</v>
      </c>
      <c r="P241">
        <v>107.9625886</v>
      </c>
      <c r="Q241">
        <v>5.1103390190000004</v>
      </c>
      <c r="R241" s="3">
        <v>5678283</v>
      </c>
      <c r="S241">
        <v>39634319</v>
      </c>
      <c r="T241" s="3">
        <f t="shared" si="1"/>
        <v>5697819.125</v>
      </c>
      <c r="U241">
        <v>19536.125</v>
      </c>
      <c r="Y241">
        <v>2146.89</v>
      </c>
      <c r="Z241">
        <v>1283.32</v>
      </c>
      <c r="AA241">
        <v>711.37</v>
      </c>
      <c r="AB241">
        <v>290.66000000000003</v>
      </c>
      <c r="AC241">
        <v>106.04</v>
      </c>
      <c r="AD241">
        <v>4538.28</v>
      </c>
      <c r="AE241">
        <v>63983311</v>
      </c>
      <c r="AF241">
        <v>41706815</v>
      </c>
      <c r="AG241">
        <v>22473963</v>
      </c>
      <c r="AH241">
        <v>2777516</v>
      </c>
      <c r="AI241">
        <v>9413242</v>
      </c>
      <c r="AJ241">
        <v>140354847</v>
      </c>
      <c r="AK241">
        <v>845</v>
      </c>
      <c r="AL241">
        <v>719</v>
      </c>
      <c r="AM241">
        <v>6</v>
      </c>
      <c r="AN241">
        <v>748</v>
      </c>
      <c r="AO241">
        <v>163</v>
      </c>
      <c r="AP241">
        <v>2481</v>
      </c>
      <c r="AQ241">
        <v>16965566</v>
      </c>
      <c r="AR241">
        <v>16275830</v>
      </c>
      <c r="AS241">
        <v>153610</v>
      </c>
      <c r="AT241">
        <v>13337018</v>
      </c>
      <c r="AU241">
        <v>4505841</v>
      </c>
      <c r="AV241">
        <v>51237865</v>
      </c>
      <c r="AW241">
        <v>13.52</v>
      </c>
      <c r="AX241">
        <v>14.74</v>
      </c>
      <c r="AY241">
        <v>14.33</v>
      </c>
      <c r="AZ241">
        <v>4.33</v>
      </c>
      <c r="BA241">
        <v>14.03</v>
      </c>
      <c r="BB241">
        <v>9.11</v>
      </c>
      <c r="BC241">
        <v>10.27</v>
      </c>
      <c r="BD241">
        <v>11.61</v>
      </c>
      <c r="BE241">
        <v>8.09</v>
      </c>
      <c r="BF241">
        <v>9.3699999999999992</v>
      </c>
      <c r="BG241">
        <v>0.47310000000000002</v>
      </c>
      <c r="BH241">
        <v>0.2828</v>
      </c>
      <c r="BI241">
        <v>0.15670000000000001</v>
      </c>
      <c r="BJ241">
        <v>6.4000000000000001E-2</v>
      </c>
      <c r="BK241">
        <v>0.34060000000000001</v>
      </c>
      <c r="BL241">
        <v>0.2898</v>
      </c>
      <c r="BM241">
        <v>2.3999999999999998E-3</v>
      </c>
      <c r="BN241">
        <v>0.30149999999999999</v>
      </c>
      <c r="BO241">
        <v>-1.4</v>
      </c>
      <c r="BP241">
        <v>1.22</v>
      </c>
      <c r="BQ241">
        <v>0.81</v>
      </c>
      <c r="BR241">
        <v>-9.18</v>
      </c>
      <c r="BS241">
        <v>33111912.27</v>
      </c>
      <c r="BT241" s="5">
        <v>1442642.2899999998</v>
      </c>
      <c r="BV241" s="5">
        <v>2615065.96</v>
      </c>
      <c r="BX241">
        <v>537593</v>
      </c>
      <c r="BZ241" s="5">
        <v>512658.96</v>
      </c>
      <c r="CB241" s="5">
        <v>94902.459999999992</v>
      </c>
      <c r="CC241" s="5"/>
    </row>
    <row r="242" spans="1:81" x14ac:dyDescent="0.2">
      <c r="A242" s="2">
        <v>45658</v>
      </c>
      <c r="B242">
        <v>2025</v>
      </c>
      <c r="C242">
        <v>1</v>
      </c>
      <c r="E242">
        <v>11.9</v>
      </c>
      <c r="F242">
        <v>23.39</v>
      </c>
      <c r="G242">
        <v>39.75</v>
      </c>
      <c r="K242">
        <v>1.4390000000000001</v>
      </c>
      <c r="BS242">
        <v>26571499.379999999</v>
      </c>
      <c r="BT242">
        <v>64227.19</v>
      </c>
      <c r="BU242">
        <v>8.9600000000000009</v>
      </c>
      <c r="BV242">
        <v>184797.86</v>
      </c>
      <c r="BW242">
        <v>9.3800000000000008</v>
      </c>
      <c r="BX242">
        <v>70274.467120000001</v>
      </c>
      <c r="BY242">
        <v>7.5164853129999996</v>
      </c>
      <c r="BZ242" s="5">
        <v>433127.13</v>
      </c>
      <c r="CA242" s="5">
        <v>7.79</v>
      </c>
      <c r="CB242" s="5">
        <v>51804.26</v>
      </c>
      <c r="CC242" s="5">
        <v>10.029999999999999</v>
      </c>
    </row>
    <row r="243" spans="1:81" x14ac:dyDescent="0.2">
      <c r="A243" s="2">
        <v>45689</v>
      </c>
      <c r="B243">
        <v>2025</v>
      </c>
      <c r="C243">
        <v>2</v>
      </c>
      <c r="E243">
        <v>12.98</v>
      </c>
      <c r="F243">
        <v>22.72</v>
      </c>
      <c r="G243">
        <v>40</v>
      </c>
      <c r="K243">
        <v>1.4313</v>
      </c>
      <c r="BS243">
        <v>19202674.719999999</v>
      </c>
      <c r="BT243">
        <v>2912.3</v>
      </c>
      <c r="BU243">
        <v>15.5</v>
      </c>
      <c r="BV243">
        <v>2874835.5</v>
      </c>
      <c r="BW243">
        <v>13.1</v>
      </c>
      <c r="CB243" s="5">
        <v>34949.910000000003</v>
      </c>
      <c r="CC243" s="5">
        <v>13.87</v>
      </c>
    </row>
    <row r="244" spans="1:81" x14ac:dyDescent="0.2">
      <c r="BT244">
        <v>210450.82</v>
      </c>
      <c r="BU244">
        <v>13.44</v>
      </c>
      <c r="BV244">
        <v>237384.66</v>
      </c>
      <c r="BW244">
        <v>11.62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39FC-94D8-6544-9519-AFDB683F5B21}">
  <dimension ref="A1:Z243"/>
  <sheetViews>
    <sheetView tabSelected="1" workbookViewId="0">
      <pane xSplit="2" ySplit="1" topLeftCell="G75" activePane="bottomRight" state="frozen"/>
      <selection pane="topRight" activeCell="C1" sqref="C1"/>
      <selection pane="bottomLeft" activeCell="A2" sqref="A2"/>
      <selection pane="bottomRight" activeCell="P85" sqref="P85:Z241"/>
    </sheetView>
  </sheetViews>
  <sheetFormatPr baseColWidth="10" defaultRowHeight="15" x14ac:dyDescent="0.2"/>
  <cols>
    <col min="1" max="1" width="11.5" customWidth="1"/>
    <col min="2" max="2" width="6.5" bestFit="1" customWidth="1"/>
    <col min="3" max="3" width="12.33203125" customWidth="1"/>
    <col min="4" max="4" width="20.1640625" bestFit="1" customWidth="1"/>
    <col min="5" max="5" width="17.83203125" bestFit="1" customWidth="1"/>
    <col min="6" max="6" width="15.5" bestFit="1" customWidth="1"/>
    <col min="7" max="7" width="16.33203125" bestFit="1" customWidth="1"/>
    <col min="8" max="8" width="21.1640625" bestFit="1" customWidth="1"/>
    <col min="9" max="9" width="18.5" bestFit="1" customWidth="1"/>
    <col min="10" max="10" width="12.1640625" bestFit="1" customWidth="1"/>
    <col min="11" max="11" width="12.6640625" bestFit="1" customWidth="1"/>
    <col min="12" max="12" width="10.33203125" customWidth="1"/>
  </cols>
  <sheetData>
    <row r="1" spans="1:13" x14ac:dyDescent="0.2">
      <c r="A1" s="1" t="s">
        <v>1</v>
      </c>
      <c r="B1" s="1" t="s">
        <v>2</v>
      </c>
      <c r="C1" s="1"/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4" t="s">
        <v>83</v>
      </c>
      <c r="M1" s="4" t="s">
        <v>84</v>
      </c>
    </row>
    <row r="2" spans="1:13" x14ac:dyDescent="0.2">
      <c r="A2">
        <v>2005</v>
      </c>
      <c r="B2">
        <v>1</v>
      </c>
      <c r="D2">
        <v>430617.4</v>
      </c>
      <c r="E2">
        <v>12.75</v>
      </c>
      <c r="F2">
        <v>672603.11</v>
      </c>
      <c r="G2">
        <v>15.03</v>
      </c>
      <c r="J2" s="5">
        <v>27101.45</v>
      </c>
      <c r="K2" s="5">
        <v>16.399999999999999</v>
      </c>
      <c r="L2" s="5">
        <v>27745.200000000001</v>
      </c>
      <c r="M2" s="5">
        <v>6.11</v>
      </c>
    </row>
    <row r="3" spans="1:13" x14ac:dyDescent="0.2">
      <c r="A3">
        <v>2005</v>
      </c>
      <c r="B3">
        <v>2</v>
      </c>
      <c r="D3">
        <v>209796.05</v>
      </c>
      <c r="E3">
        <v>11.36</v>
      </c>
      <c r="F3">
        <v>327855.65000000002</v>
      </c>
      <c r="G3">
        <v>13.41</v>
      </c>
      <c r="J3" s="5">
        <v>8399.6200000000008</v>
      </c>
      <c r="K3" s="5">
        <v>30.91</v>
      </c>
      <c r="L3" s="5">
        <v>0</v>
      </c>
      <c r="M3" s="5">
        <v>0</v>
      </c>
    </row>
    <row r="4" spans="1:13" x14ac:dyDescent="0.2">
      <c r="A4">
        <v>2005</v>
      </c>
      <c r="B4">
        <v>3</v>
      </c>
      <c r="D4">
        <v>204992.18</v>
      </c>
      <c r="E4">
        <v>6.53</v>
      </c>
      <c r="F4">
        <v>126670.85</v>
      </c>
      <c r="G4">
        <v>16.079999999999998</v>
      </c>
      <c r="H4">
        <v>115171.5534</v>
      </c>
      <c r="I4">
        <v>0.65651628200000001</v>
      </c>
      <c r="J4" s="5">
        <v>50578.49</v>
      </c>
      <c r="K4" s="5">
        <v>2.12</v>
      </c>
      <c r="L4" s="5">
        <v>22.05</v>
      </c>
      <c r="M4" s="5">
        <v>6.86</v>
      </c>
    </row>
    <row r="5" spans="1:13" x14ac:dyDescent="0.2">
      <c r="A5">
        <v>2005</v>
      </c>
      <c r="B5">
        <v>4</v>
      </c>
      <c r="D5">
        <v>160330.99</v>
      </c>
      <c r="E5">
        <v>11.64</v>
      </c>
      <c r="F5">
        <v>566.59</v>
      </c>
      <c r="G5">
        <v>17.11</v>
      </c>
      <c r="H5">
        <v>1164.03936</v>
      </c>
      <c r="I5">
        <v>19.820635620000001</v>
      </c>
      <c r="J5" s="5">
        <v>1953.3</v>
      </c>
      <c r="K5" s="5">
        <v>25.14</v>
      </c>
      <c r="L5" s="5">
        <v>0</v>
      </c>
      <c r="M5" s="5">
        <v>0</v>
      </c>
    </row>
    <row r="6" spans="1:13" x14ac:dyDescent="0.2">
      <c r="A6">
        <v>2005</v>
      </c>
      <c r="B6">
        <v>5</v>
      </c>
      <c r="D6">
        <v>1537896.61</v>
      </c>
      <c r="E6">
        <v>11.89</v>
      </c>
      <c r="F6">
        <v>109615.91</v>
      </c>
      <c r="G6">
        <v>12.28</v>
      </c>
      <c r="J6" s="5">
        <v>137224.64000000001</v>
      </c>
      <c r="K6" s="5">
        <v>5.29</v>
      </c>
      <c r="L6" s="5">
        <v>403022.98</v>
      </c>
      <c r="M6" s="5">
        <v>6.7</v>
      </c>
    </row>
    <row r="7" spans="1:13" x14ac:dyDescent="0.2">
      <c r="A7">
        <v>2005</v>
      </c>
      <c r="B7">
        <v>6</v>
      </c>
      <c r="D7">
        <v>2369668.88</v>
      </c>
      <c r="E7">
        <v>12.62</v>
      </c>
      <c r="F7">
        <v>1716190.85</v>
      </c>
      <c r="G7">
        <v>13.85</v>
      </c>
      <c r="H7">
        <v>72730.413799999995</v>
      </c>
      <c r="I7">
        <v>3.4754373969999999</v>
      </c>
      <c r="J7" s="5">
        <v>317501.19</v>
      </c>
      <c r="K7" s="5">
        <v>7.02</v>
      </c>
      <c r="L7" s="5">
        <v>1450382.72</v>
      </c>
      <c r="M7" s="5">
        <v>5.9</v>
      </c>
    </row>
    <row r="8" spans="1:13" x14ac:dyDescent="0.2">
      <c r="A8">
        <v>2005</v>
      </c>
      <c r="B8">
        <v>7</v>
      </c>
      <c r="D8">
        <v>696346.86</v>
      </c>
      <c r="E8">
        <v>13.31</v>
      </c>
      <c r="F8">
        <v>3218690.09</v>
      </c>
      <c r="G8">
        <v>12.4</v>
      </c>
      <c r="J8" s="5">
        <v>454754.49</v>
      </c>
      <c r="K8" s="5">
        <v>6.85</v>
      </c>
      <c r="L8" s="5">
        <v>717510.45</v>
      </c>
      <c r="M8" s="5">
        <v>5.79</v>
      </c>
    </row>
    <row r="9" spans="1:13" x14ac:dyDescent="0.2">
      <c r="A9">
        <v>2005</v>
      </c>
      <c r="B9">
        <v>8</v>
      </c>
      <c r="D9">
        <v>792754.9</v>
      </c>
      <c r="E9">
        <v>12.38</v>
      </c>
      <c r="F9">
        <v>139742.04</v>
      </c>
      <c r="G9">
        <v>4.8099999999999996</v>
      </c>
      <c r="H9">
        <v>36376.230000000003</v>
      </c>
      <c r="I9">
        <v>5.1379980830000003</v>
      </c>
      <c r="J9" s="5">
        <v>343738.43</v>
      </c>
      <c r="K9" s="5">
        <v>7.77</v>
      </c>
      <c r="L9" s="5">
        <v>291142.7</v>
      </c>
      <c r="M9" s="5">
        <v>6.71</v>
      </c>
    </row>
    <row r="10" spans="1:13" x14ac:dyDescent="0.2">
      <c r="A10">
        <v>2005</v>
      </c>
      <c r="B10">
        <v>9</v>
      </c>
      <c r="D10">
        <v>883378.01</v>
      </c>
      <c r="E10">
        <v>12.32</v>
      </c>
      <c r="F10">
        <v>933358.95</v>
      </c>
      <c r="G10">
        <v>13.18</v>
      </c>
      <c r="J10" s="5">
        <v>173530.4</v>
      </c>
      <c r="K10" s="5">
        <v>7.15</v>
      </c>
      <c r="L10" s="5">
        <v>492451.37</v>
      </c>
      <c r="M10" s="5">
        <v>5.59</v>
      </c>
    </row>
    <row r="11" spans="1:13" x14ac:dyDescent="0.2">
      <c r="A11">
        <v>2005</v>
      </c>
      <c r="B11">
        <v>10</v>
      </c>
      <c r="D11">
        <v>1201980.8700000001</v>
      </c>
      <c r="E11">
        <v>13.09</v>
      </c>
      <c r="F11">
        <v>1849.68</v>
      </c>
      <c r="G11">
        <v>6.89</v>
      </c>
      <c r="J11" s="5">
        <v>157577.74</v>
      </c>
      <c r="K11" s="5">
        <v>8.26</v>
      </c>
      <c r="L11" s="5">
        <v>306348</v>
      </c>
      <c r="M11" s="5">
        <v>5.33</v>
      </c>
    </row>
    <row r="12" spans="1:13" x14ac:dyDescent="0.2">
      <c r="A12">
        <v>2005</v>
      </c>
      <c r="B12">
        <v>11</v>
      </c>
      <c r="D12">
        <v>1597606.54</v>
      </c>
      <c r="E12">
        <v>13.3</v>
      </c>
      <c r="F12">
        <v>861422.2</v>
      </c>
      <c r="G12">
        <v>13.31</v>
      </c>
      <c r="J12" s="5">
        <v>219373.36</v>
      </c>
      <c r="K12" s="5">
        <v>5.38</v>
      </c>
      <c r="L12" s="5">
        <v>185175.22</v>
      </c>
      <c r="M12" s="5">
        <v>5.46</v>
      </c>
    </row>
    <row r="13" spans="1:13" x14ac:dyDescent="0.2">
      <c r="A13">
        <v>2005</v>
      </c>
      <c r="B13">
        <v>12</v>
      </c>
      <c r="D13">
        <v>1179482.72</v>
      </c>
      <c r="E13">
        <v>12.91</v>
      </c>
      <c r="F13">
        <v>1807.79</v>
      </c>
      <c r="G13">
        <v>7.56</v>
      </c>
      <c r="H13">
        <v>749.57079999999996</v>
      </c>
      <c r="I13">
        <v>53.191773210000001</v>
      </c>
      <c r="J13" s="5">
        <v>81901.8</v>
      </c>
      <c r="K13" s="5">
        <v>14.24</v>
      </c>
      <c r="L13" s="5">
        <v>0</v>
      </c>
      <c r="M13" s="5">
        <v>0</v>
      </c>
    </row>
    <row r="14" spans="1:13" x14ac:dyDescent="0.2">
      <c r="A14">
        <v>2006</v>
      </c>
      <c r="B14">
        <v>1</v>
      </c>
      <c r="D14">
        <v>734028.23</v>
      </c>
      <c r="E14">
        <v>9.4</v>
      </c>
      <c r="F14">
        <v>1497915.83</v>
      </c>
      <c r="G14">
        <v>14.83</v>
      </c>
      <c r="J14" s="5">
        <v>243769.73</v>
      </c>
      <c r="K14" s="5">
        <v>5.39</v>
      </c>
      <c r="L14" s="5">
        <v>99362.42</v>
      </c>
      <c r="M14" s="5">
        <v>3.01</v>
      </c>
    </row>
    <row r="15" spans="1:13" x14ac:dyDescent="0.2">
      <c r="A15">
        <v>2006</v>
      </c>
      <c r="B15">
        <v>2</v>
      </c>
      <c r="D15">
        <v>148302.57999999999</v>
      </c>
      <c r="E15">
        <v>11.76</v>
      </c>
      <c r="F15">
        <v>2098269.13</v>
      </c>
      <c r="G15">
        <v>15.51</v>
      </c>
      <c r="J15" s="5">
        <v>74824.95</v>
      </c>
      <c r="K15" s="5">
        <v>4.0199999999999996</v>
      </c>
      <c r="L15" s="5">
        <v>0</v>
      </c>
      <c r="M15" s="5">
        <v>0</v>
      </c>
    </row>
    <row r="16" spans="1:13" x14ac:dyDescent="0.2">
      <c r="A16">
        <v>2006</v>
      </c>
      <c r="B16">
        <v>3</v>
      </c>
      <c r="D16">
        <v>177551.28</v>
      </c>
      <c r="E16">
        <v>9.5</v>
      </c>
      <c r="F16">
        <v>85102.74</v>
      </c>
      <c r="G16">
        <v>14.89</v>
      </c>
      <c r="J16" s="5">
        <v>59639.5</v>
      </c>
      <c r="K16" s="5">
        <v>2.38</v>
      </c>
      <c r="L16" s="5">
        <v>21164.39</v>
      </c>
      <c r="M16" s="5">
        <v>9.15</v>
      </c>
    </row>
    <row r="17" spans="1:13" x14ac:dyDescent="0.2">
      <c r="A17">
        <v>2006</v>
      </c>
      <c r="B17">
        <v>4</v>
      </c>
      <c r="D17">
        <v>88453.759999999995</v>
      </c>
      <c r="E17">
        <v>10.43</v>
      </c>
      <c r="F17">
        <v>2862694.66</v>
      </c>
      <c r="G17">
        <v>15.79</v>
      </c>
      <c r="J17" s="5">
        <v>21929.4</v>
      </c>
      <c r="K17" s="5">
        <v>3.83</v>
      </c>
      <c r="L17" s="5">
        <v>44950.09</v>
      </c>
      <c r="M17" s="5">
        <v>7.31</v>
      </c>
    </row>
    <row r="18" spans="1:13" x14ac:dyDescent="0.2">
      <c r="A18">
        <v>2006</v>
      </c>
      <c r="B18">
        <v>5</v>
      </c>
      <c r="D18">
        <v>2031105.38</v>
      </c>
      <c r="E18">
        <v>13.04</v>
      </c>
      <c r="F18">
        <v>120991.75</v>
      </c>
      <c r="G18">
        <v>16.54</v>
      </c>
      <c r="J18" s="5">
        <v>660838.37</v>
      </c>
      <c r="K18" s="5">
        <v>6.44</v>
      </c>
      <c r="L18" s="5">
        <v>669286.5</v>
      </c>
      <c r="M18" s="5">
        <v>7.51</v>
      </c>
    </row>
    <row r="19" spans="1:13" x14ac:dyDescent="0.2">
      <c r="A19">
        <v>2006</v>
      </c>
      <c r="B19">
        <v>6</v>
      </c>
      <c r="D19">
        <v>1944430.75</v>
      </c>
      <c r="E19">
        <v>13.52</v>
      </c>
      <c r="F19">
        <v>1746879.16</v>
      </c>
      <c r="G19">
        <v>15.85</v>
      </c>
      <c r="H19">
        <v>36900.929559999997</v>
      </c>
      <c r="I19">
        <v>1.784860186</v>
      </c>
      <c r="J19" s="5">
        <v>1156920.76</v>
      </c>
      <c r="K19" s="5">
        <v>6.8</v>
      </c>
      <c r="L19" s="5">
        <v>1351545</v>
      </c>
      <c r="M19" s="5">
        <v>7.41</v>
      </c>
    </row>
    <row r="20" spans="1:13" x14ac:dyDescent="0.2">
      <c r="A20">
        <v>2006</v>
      </c>
      <c r="B20">
        <v>7</v>
      </c>
      <c r="D20">
        <v>873058.18</v>
      </c>
      <c r="E20">
        <v>13.9</v>
      </c>
      <c r="F20">
        <v>14850.32</v>
      </c>
      <c r="G20">
        <v>16.489999999999998</v>
      </c>
      <c r="H20">
        <v>86956.826660000006</v>
      </c>
      <c r="I20">
        <v>6.0594207520000003</v>
      </c>
      <c r="J20" s="5">
        <v>816872.87</v>
      </c>
      <c r="K20" s="5">
        <v>6.35</v>
      </c>
      <c r="L20" s="5">
        <v>1016530.27</v>
      </c>
      <c r="M20" s="5">
        <v>7.69</v>
      </c>
    </row>
    <row r="21" spans="1:13" x14ac:dyDescent="0.2">
      <c r="A21">
        <v>2006</v>
      </c>
      <c r="B21">
        <v>8</v>
      </c>
      <c r="D21">
        <v>982934.24</v>
      </c>
      <c r="E21">
        <v>12.59</v>
      </c>
      <c r="F21">
        <v>797713.09</v>
      </c>
      <c r="G21">
        <v>15.58</v>
      </c>
      <c r="H21">
        <v>75395.799379999997</v>
      </c>
      <c r="I21">
        <v>4.2670414350000003</v>
      </c>
      <c r="J21" s="5">
        <v>307194.57</v>
      </c>
      <c r="K21" s="5">
        <v>6.6</v>
      </c>
      <c r="L21" s="5">
        <v>304945.84999999998</v>
      </c>
      <c r="M21" s="5">
        <v>7.05</v>
      </c>
    </row>
    <row r="22" spans="1:13" x14ac:dyDescent="0.2">
      <c r="A22">
        <v>2006</v>
      </c>
      <c r="B22">
        <v>9</v>
      </c>
      <c r="D22">
        <v>1093249.01</v>
      </c>
      <c r="E22">
        <v>11.66</v>
      </c>
      <c r="F22">
        <v>181784.15</v>
      </c>
      <c r="G22">
        <v>13.82</v>
      </c>
      <c r="J22" s="5">
        <v>332918.13</v>
      </c>
      <c r="K22" s="5">
        <v>8.35</v>
      </c>
      <c r="L22" s="5">
        <v>545884.85</v>
      </c>
      <c r="M22" s="5">
        <v>7.32</v>
      </c>
    </row>
    <row r="23" spans="1:13" x14ac:dyDescent="0.2">
      <c r="A23">
        <v>2006</v>
      </c>
      <c r="B23">
        <v>10</v>
      </c>
      <c r="D23">
        <v>1450662.01</v>
      </c>
      <c r="E23">
        <v>12.22</v>
      </c>
      <c r="F23">
        <v>120954.27</v>
      </c>
      <c r="G23">
        <v>10.27</v>
      </c>
      <c r="H23">
        <v>15941.60722</v>
      </c>
      <c r="I23">
        <v>9.2205257580000008</v>
      </c>
      <c r="J23" s="5">
        <v>535900.1</v>
      </c>
      <c r="K23" s="5">
        <v>6.66</v>
      </c>
      <c r="L23" s="5">
        <v>205726.73</v>
      </c>
      <c r="M23" s="5">
        <v>9.35</v>
      </c>
    </row>
    <row r="24" spans="1:13" x14ac:dyDescent="0.2">
      <c r="A24">
        <v>2006</v>
      </c>
      <c r="B24">
        <v>11</v>
      </c>
      <c r="D24">
        <v>993540.66</v>
      </c>
      <c r="E24">
        <v>11.58</v>
      </c>
      <c r="F24">
        <v>10390.370000000001</v>
      </c>
      <c r="G24">
        <v>12.05</v>
      </c>
      <c r="J24" s="5">
        <v>140050.97</v>
      </c>
      <c r="K24" s="5">
        <v>3.44</v>
      </c>
      <c r="L24" s="5">
        <v>85841.46</v>
      </c>
      <c r="M24" s="5">
        <v>7.69</v>
      </c>
    </row>
    <row r="25" spans="1:13" x14ac:dyDescent="0.2">
      <c r="A25">
        <v>2006</v>
      </c>
      <c r="B25">
        <v>12</v>
      </c>
      <c r="D25">
        <v>1783795.52</v>
      </c>
      <c r="E25">
        <v>10.95</v>
      </c>
      <c r="F25">
        <v>207994.87</v>
      </c>
      <c r="G25">
        <v>14.68</v>
      </c>
      <c r="H25">
        <v>114.64024000000001</v>
      </c>
      <c r="I25">
        <v>31.97830012</v>
      </c>
      <c r="J25" s="5">
        <v>110863.95</v>
      </c>
      <c r="K25" s="5">
        <v>9.59</v>
      </c>
      <c r="L25" s="5">
        <v>40838.46</v>
      </c>
      <c r="M25" s="5">
        <v>8.07</v>
      </c>
    </row>
    <row r="26" spans="1:13" x14ac:dyDescent="0.2">
      <c r="A26">
        <v>2007</v>
      </c>
      <c r="B26">
        <v>1</v>
      </c>
      <c r="D26">
        <v>718011.66</v>
      </c>
      <c r="E26">
        <v>9.1999999999999993</v>
      </c>
      <c r="F26">
        <v>800.28</v>
      </c>
      <c r="G26">
        <v>5.54</v>
      </c>
      <c r="H26">
        <v>110762.3134</v>
      </c>
      <c r="I26">
        <v>3.9931451980000001</v>
      </c>
      <c r="J26" s="5">
        <v>106112.98</v>
      </c>
      <c r="K26" s="5">
        <v>6.24</v>
      </c>
      <c r="L26" s="5">
        <v>60294.27</v>
      </c>
      <c r="M26" s="5">
        <v>5.62</v>
      </c>
    </row>
    <row r="27" spans="1:13" x14ac:dyDescent="0.2">
      <c r="A27">
        <v>2007</v>
      </c>
      <c r="B27">
        <v>2</v>
      </c>
      <c r="D27">
        <v>122140.36</v>
      </c>
      <c r="E27">
        <v>13.72</v>
      </c>
      <c r="F27">
        <v>3483542.11</v>
      </c>
      <c r="G27">
        <v>12.69</v>
      </c>
      <c r="J27" s="5">
        <v>32061.85</v>
      </c>
      <c r="K27" s="5">
        <v>5.97</v>
      </c>
      <c r="L27" s="5">
        <v>13315.93</v>
      </c>
      <c r="M27" s="5">
        <v>8.18</v>
      </c>
    </row>
    <row r="28" spans="1:13" x14ac:dyDescent="0.2">
      <c r="A28">
        <v>2007</v>
      </c>
      <c r="B28">
        <v>3</v>
      </c>
      <c r="D28">
        <v>171049.85</v>
      </c>
      <c r="E28">
        <v>15.38</v>
      </c>
      <c r="F28">
        <v>2553838.42</v>
      </c>
      <c r="G28">
        <v>13.83</v>
      </c>
      <c r="J28" s="5">
        <v>45441.72</v>
      </c>
      <c r="K28" s="5">
        <v>8.68</v>
      </c>
      <c r="L28" s="5">
        <v>5846.66</v>
      </c>
      <c r="M28" s="5">
        <v>17.420000000000002</v>
      </c>
    </row>
    <row r="29" spans="1:13" x14ac:dyDescent="0.2">
      <c r="A29">
        <v>2007</v>
      </c>
      <c r="B29">
        <v>4</v>
      </c>
      <c r="D29">
        <v>145626.17000000001</v>
      </c>
      <c r="E29">
        <v>11.9</v>
      </c>
      <c r="F29">
        <v>29460.34</v>
      </c>
      <c r="G29">
        <v>5.97</v>
      </c>
      <c r="J29" s="5">
        <v>90195.59</v>
      </c>
      <c r="K29" s="5">
        <v>9.58</v>
      </c>
      <c r="L29" s="5">
        <v>24596.99</v>
      </c>
      <c r="M29" s="5">
        <v>8.14</v>
      </c>
    </row>
    <row r="30" spans="1:13" x14ac:dyDescent="0.2">
      <c r="A30">
        <v>2007</v>
      </c>
      <c r="B30">
        <v>5</v>
      </c>
      <c r="D30">
        <v>964792.42</v>
      </c>
      <c r="E30">
        <v>11.68</v>
      </c>
      <c r="F30">
        <v>1503971.92</v>
      </c>
      <c r="G30">
        <v>14.08</v>
      </c>
      <c r="J30" s="5">
        <v>94558.55</v>
      </c>
      <c r="K30" s="5">
        <v>7.81</v>
      </c>
      <c r="L30" s="5">
        <v>249371.68</v>
      </c>
      <c r="M30" s="5">
        <v>5.81</v>
      </c>
    </row>
    <row r="31" spans="1:13" x14ac:dyDescent="0.2">
      <c r="A31">
        <v>2007</v>
      </c>
      <c r="B31">
        <v>6</v>
      </c>
      <c r="D31">
        <v>2081760.94</v>
      </c>
      <c r="E31">
        <v>11.81</v>
      </c>
      <c r="F31">
        <v>6000.98</v>
      </c>
      <c r="G31">
        <v>6.02</v>
      </c>
      <c r="J31" s="5">
        <v>284921.25</v>
      </c>
      <c r="K31" s="5">
        <v>9.43</v>
      </c>
      <c r="L31" s="5">
        <v>1881611.67</v>
      </c>
      <c r="M31" s="5">
        <v>7.44</v>
      </c>
    </row>
    <row r="32" spans="1:13" x14ac:dyDescent="0.2">
      <c r="A32">
        <v>2007</v>
      </c>
      <c r="B32">
        <v>7</v>
      </c>
      <c r="D32">
        <v>893188.57</v>
      </c>
      <c r="E32">
        <v>11.94</v>
      </c>
      <c r="F32">
        <v>106130.41</v>
      </c>
      <c r="G32">
        <v>16.64</v>
      </c>
      <c r="H32">
        <v>509.26722000000001</v>
      </c>
      <c r="I32">
        <v>0.95234874899999999</v>
      </c>
      <c r="J32" s="5">
        <v>506362.55</v>
      </c>
      <c r="K32" s="5">
        <v>7.4</v>
      </c>
      <c r="L32" s="5">
        <v>1347938.24</v>
      </c>
      <c r="M32" s="5">
        <v>8.43</v>
      </c>
    </row>
    <row r="33" spans="1:13" x14ac:dyDescent="0.2">
      <c r="A33">
        <v>2007</v>
      </c>
      <c r="B33">
        <v>8</v>
      </c>
      <c r="D33">
        <v>1150747.71</v>
      </c>
      <c r="E33">
        <v>11.52</v>
      </c>
      <c r="F33">
        <v>1649260.79</v>
      </c>
      <c r="G33">
        <v>15.2</v>
      </c>
      <c r="H33">
        <v>116311.342</v>
      </c>
      <c r="I33">
        <v>2.0825484080000001</v>
      </c>
      <c r="J33" s="5">
        <v>239254.66</v>
      </c>
      <c r="K33" s="5">
        <v>8.11</v>
      </c>
      <c r="L33" s="5">
        <v>671043.57999999996</v>
      </c>
      <c r="M33" s="5">
        <v>7.26</v>
      </c>
    </row>
    <row r="34" spans="1:13" x14ac:dyDescent="0.2">
      <c r="A34">
        <v>2007</v>
      </c>
      <c r="B34">
        <v>9</v>
      </c>
      <c r="D34">
        <v>1245356.77</v>
      </c>
      <c r="E34">
        <v>10.86</v>
      </c>
      <c r="F34">
        <v>64077.279999999999</v>
      </c>
      <c r="G34">
        <v>16.39</v>
      </c>
      <c r="J34" s="5">
        <v>281030.09000000003</v>
      </c>
      <c r="K34" s="5">
        <v>9.6</v>
      </c>
      <c r="L34" s="5">
        <v>426224.45</v>
      </c>
      <c r="M34" s="5">
        <v>8.2100000000000009</v>
      </c>
    </row>
    <row r="35" spans="1:13" x14ac:dyDescent="0.2">
      <c r="A35">
        <v>2007</v>
      </c>
      <c r="B35">
        <v>10</v>
      </c>
      <c r="D35">
        <v>1252127.1599999999</v>
      </c>
      <c r="E35">
        <v>10.93</v>
      </c>
      <c r="F35">
        <v>1657543.55</v>
      </c>
      <c r="G35">
        <v>15.31</v>
      </c>
      <c r="J35" s="5">
        <v>172950.58</v>
      </c>
      <c r="K35" s="5">
        <v>8.75</v>
      </c>
      <c r="L35" s="5">
        <v>234435.35</v>
      </c>
      <c r="M35" s="5">
        <v>9.65</v>
      </c>
    </row>
    <row r="36" spans="1:13" x14ac:dyDescent="0.2">
      <c r="A36">
        <v>2007</v>
      </c>
      <c r="B36">
        <v>11</v>
      </c>
      <c r="D36">
        <v>814812.12</v>
      </c>
      <c r="E36">
        <v>11.1</v>
      </c>
      <c r="F36">
        <v>2573106.7999999998</v>
      </c>
      <c r="G36">
        <v>15.41</v>
      </c>
      <c r="J36" s="5">
        <v>266100.37</v>
      </c>
      <c r="K36" s="5">
        <v>4.2300000000000004</v>
      </c>
      <c r="L36" s="5">
        <v>350235.45</v>
      </c>
      <c r="M36" s="5">
        <v>9.56</v>
      </c>
    </row>
    <row r="37" spans="1:13" x14ac:dyDescent="0.2">
      <c r="A37">
        <v>2007</v>
      </c>
      <c r="B37">
        <v>12</v>
      </c>
      <c r="D37">
        <v>707660.97</v>
      </c>
      <c r="E37">
        <v>11.87</v>
      </c>
      <c r="F37">
        <v>133015.75</v>
      </c>
      <c r="G37">
        <v>14.86</v>
      </c>
      <c r="J37" s="5">
        <v>232274.82</v>
      </c>
      <c r="K37" s="5">
        <v>7.71</v>
      </c>
      <c r="L37" s="5">
        <v>82691.05</v>
      </c>
      <c r="M37" s="5">
        <v>10.31</v>
      </c>
    </row>
    <row r="38" spans="1:13" x14ac:dyDescent="0.2">
      <c r="A38">
        <v>2008</v>
      </c>
      <c r="B38">
        <v>1</v>
      </c>
      <c r="D38">
        <v>451162.26</v>
      </c>
      <c r="E38">
        <v>12.32</v>
      </c>
      <c r="F38">
        <v>1872923.9</v>
      </c>
      <c r="G38">
        <v>15.06</v>
      </c>
      <c r="J38" s="5">
        <v>98610.65</v>
      </c>
      <c r="K38" s="5">
        <v>4.54</v>
      </c>
      <c r="L38" s="5">
        <v>120418.79</v>
      </c>
      <c r="M38" s="5">
        <v>6.94</v>
      </c>
    </row>
    <row r="39" spans="1:13" x14ac:dyDescent="0.2">
      <c r="A39">
        <v>2008</v>
      </c>
      <c r="B39">
        <v>2</v>
      </c>
      <c r="D39">
        <v>220378.22</v>
      </c>
      <c r="E39">
        <v>11.66</v>
      </c>
      <c r="F39">
        <v>124433.16</v>
      </c>
      <c r="G39">
        <v>13.86</v>
      </c>
      <c r="H39">
        <v>7555.2327400000004</v>
      </c>
      <c r="I39">
        <v>11.347367180000001</v>
      </c>
      <c r="J39" s="5">
        <v>12220.23</v>
      </c>
      <c r="K39" s="5">
        <v>6.63</v>
      </c>
      <c r="L39" s="5">
        <v>31424.720000000001</v>
      </c>
      <c r="M39" s="5">
        <v>9.0399999999999991</v>
      </c>
    </row>
    <row r="40" spans="1:13" x14ac:dyDescent="0.2">
      <c r="A40">
        <v>2008</v>
      </c>
      <c r="B40">
        <v>3</v>
      </c>
      <c r="D40">
        <v>129750.71</v>
      </c>
      <c r="E40">
        <v>10.68</v>
      </c>
      <c r="F40">
        <v>91515.98</v>
      </c>
      <c r="G40">
        <v>15.47</v>
      </c>
      <c r="J40" s="5">
        <v>14263.92</v>
      </c>
      <c r="K40" s="5">
        <v>16.28</v>
      </c>
      <c r="L40" s="5">
        <v>7674.3</v>
      </c>
      <c r="M40" s="5">
        <v>7.56</v>
      </c>
    </row>
    <row r="41" spans="1:13" x14ac:dyDescent="0.2">
      <c r="A41">
        <v>2008</v>
      </c>
      <c r="B41">
        <v>4</v>
      </c>
      <c r="D41">
        <v>333684.67</v>
      </c>
      <c r="E41">
        <v>11.15</v>
      </c>
      <c r="F41">
        <v>2451704.9900000002</v>
      </c>
      <c r="G41">
        <v>14.92</v>
      </c>
      <c r="J41" s="5">
        <v>41945.18</v>
      </c>
      <c r="K41" s="5">
        <v>8.84</v>
      </c>
      <c r="L41" s="5">
        <v>0</v>
      </c>
      <c r="M41" s="5">
        <v>0</v>
      </c>
    </row>
    <row r="42" spans="1:13" x14ac:dyDescent="0.2">
      <c r="A42">
        <v>2008</v>
      </c>
      <c r="B42">
        <v>5</v>
      </c>
      <c r="D42">
        <v>1706832.24</v>
      </c>
      <c r="E42">
        <v>12.09</v>
      </c>
      <c r="F42">
        <v>1059813.75</v>
      </c>
      <c r="G42">
        <v>14.19</v>
      </c>
      <c r="J42" s="5">
        <v>93447.42</v>
      </c>
      <c r="K42" s="5">
        <v>10.3</v>
      </c>
      <c r="L42" s="5">
        <v>140610.95000000001</v>
      </c>
      <c r="M42" s="5">
        <v>8.14</v>
      </c>
    </row>
    <row r="43" spans="1:13" x14ac:dyDescent="0.2">
      <c r="A43">
        <v>2008</v>
      </c>
      <c r="B43">
        <v>6</v>
      </c>
      <c r="D43">
        <v>2571272.56</v>
      </c>
      <c r="E43">
        <v>11.8</v>
      </c>
      <c r="F43">
        <v>260773.48</v>
      </c>
      <c r="G43">
        <v>12.15</v>
      </c>
      <c r="J43" s="5">
        <v>265053.18</v>
      </c>
      <c r="K43" s="5">
        <v>7.2</v>
      </c>
      <c r="L43" s="5">
        <v>788384.72</v>
      </c>
      <c r="M43" s="5">
        <v>8.39</v>
      </c>
    </row>
    <row r="44" spans="1:13" x14ac:dyDescent="0.2">
      <c r="A44">
        <v>2008</v>
      </c>
      <c r="B44">
        <v>7</v>
      </c>
      <c r="D44">
        <v>1301400.4099999999</v>
      </c>
      <c r="E44">
        <v>12.22</v>
      </c>
      <c r="F44">
        <v>297361.34999999998</v>
      </c>
      <c r="G44">
        <v>8.31</v>
      </c>
      <c r="J44" s="5">
        <v>263884.71999999997</v>
      </c>
      <c r="K44" s="5">
        <v>8.65</v>
      </c>
      <c r="L44" s="5">
        <v>596156.9</v>
      </c>
      <c r="M44" s="5">
        <v>7.42</v>
      </c>
    </row>
    <row r="45" spans="1:13" x14ac:dyDescent="0.2">
      <c r="A45">
        <v>2008</v>
      </c>
      <c r="B45">
        <v>8</v>
      </c>
      <c r="D45">
        <v>1095618.98</v>
      </c>
      <c r="E45">
        <v>12.77</v>
      </c>
      <c r="F45">
        <v>145888.51999999999</v>
      </c>
      <c r="G45">
        <v>8.3699999999999992</v>
      </c>
      <c r="J45" s="5">
        <v>231130.62</v>
      </c>
      <c r="K45" s="5">
        <v>8.85</v>
      </c>
      <c r="L45" s="5">
        <v>753648.65</v>
      </c>
      <c r="M45" s="5">
        <v>7.73</v>
      </c>
    </row>
    <row r="46" spans="1:13" x14ac:dyDescent="0.2">
      <c r="A46">
        <v>2008</v>
      </c>
      <c r="B46">
        <v>9</v>
      </c>
      <c r="D46">
        <v>1053316.73</v>
      </c>
      <c r="E46">
        <v>14.61</v>
      </c>
      <c r="F46">
        <v>1560930.49</v>
      </c>
      <c r="G46">
        <v>14.05</v>
      </c>
      <c r="H46">
        <v>3302.5207599999999</v>
      </c>
      <c r="I46">
        <v>6.9477231689999996</v>
      </c>
      <c r="J46" s="5">
        <v>231185.74</v>
      </c>
      <c r="K46" s="5">
        <v>6.91</v>
      </c>
      <c r="L46" s="5">
        <v>459485.62</v>
      </c>
      <c r="M46" s="5">
        <v>6.88</v>
      </c>
    </row>
    <row r="47" spans="1:13" x14ac:dyDescent="0.2">
      <c r="A47">
        <v>2008</v>
      </c>
      <c r="B47">
        <v>10</v>
      </c>
      <c r="D47">
        <v>1104885</v>
      </c>
      <c r="E47">
        <v>10.93</v>
      </c>
      <c r="F47">
        <v>15348.56</v>
      </c>
      <c r="G47">
        <v>3.83</v>
      </c>
      <c r="J47" s="5">
        <v>472541.4</v>
      </c>
      <c r="K47" s="5">
        <v>8.56</v>
      </c>
      <c r="L47" s="5">
        <v>293140.09000000003</v>
      </c>
      <c r="M47" s="5">
        <v>4.87</v>
      </c>
    </row>
    <row r="48" spans="1:13" x14ac:dyDescent="0.2">
      <c r="A48">
        <v>2008</v>
      </c>
      <c r="B48">
        <v>11</v>
      </c>
      <c r="D48">
        <v>859535.04</v>
      </c>
      <c r="E48">
        <v>10.050000000000001</v>
      </c>
      <c r="F48">
        <v>2682478</v>
      </c>
      <c r="G48">
        <v>15.11</v>
      </c>
      <c r="J48" s="5">
        <v>237166.88</v>
      </c>
      <c r="K48" s="5">
        <v>5.64</v>
      </c>
      <c r="L48" s="5">
        <v>161001.51999999999</v>
      </c>
      <c r="M48" s="5">
        <v>6.78</v>
      </c>
    </row>
    <row r="49" spans="1:13" x14ac:dyDescent="0.2">
      <c r="A49">
        <v>2008</v>
      </c>
      <c r="B49">
        <v>12</v>
      </c>
      <c r="D49">
        <v>1069183.3799999999</v>
      </c>
      <c r="E49">
        <v>10.84</v>
      </c>
      <c r="F49">
        <v>1552.05</v>
      </c>
      <c r="G49">
        <v>11.11</v>
      </c>
      <c r="J49" s="5">
        <v>80717.91</v>
      </c>
      <c r="K49" s="5">
        <v>4.4400000000000004</v>
      </c>
      <c r="L49" s="5">
        <v>143223.43</v>
      </c>
      <c r="M49" s="5">
        <v>3.21</v>
      </c>
    </row>
    <row r="50" spans="1:13" x14ac:dyDescent="0.2">
      <c r="A50">
        <v>2009</v>
      </c>
      <c r="B50">
        <v>1</v>
      </c>
      <c r="D50">
        <v>480633.62</v>
      </c>
      <c r="E50">
        <v>8.17</v>
      </c>
      <c r="F50">
        <v>1043047.61</v>
      </c>
      <c r="G50">
        <v>16.29</v>
      </c>
      <c r="J50" s="5">
        <v>32956.93</v>
      </c>
      <c r="K50" s="5">
        <v>17.12</v>
      </c>
      <c r="L50" s="5">
        <v>81127.97</v>
      </c>
      <c r="M50" s="5">
        <v>6.39</v>
      </c>
    </row>
    <row r="51" spans="1:13" x14ac:dyDescent="0.2">
      <c r="A51">
        <v>2009</v>
      </c>
      <c r="B51">
        <v>2</v>
      </c>
      <c r="D51">
        <v>200455.07</v>
      </c>
      <c r="E51">
        <v>5.98</v>
      </c>
      <c r="F51">
        <v>2138.48</v>
      </c>
      <c r="G51">
        <v>2</v>
      </c>
      <c r="H51">
        <v>33000.95678</v>
      </c>
      <c r="I51">
        <v>10.180219989999999</v>
      </c>
      <c r="J51" s="5">
        <v>107371.82</v>
      </c>
      <c r="K51" s="5">
        <v>2.92</v>
      </c>
      <c r="L51" s="5">
        <v>84384.2</v>
      </c>
      <c r="M51" s="5">
        <v>7.62</v>
      </c>
    </row>
    <row r="52" spans="1:13" x14ac:dyDescent="0.2">
      <c r="A52">
        <v>2009</v>
      </c>
      <c r="B52">
        <v>3</v>
      </c>
      <c r="D52">
        <v>215188.55</v>
      </c>
      <c r="E52">
        <v>3.84</v>
      </c>
      <c r="F52">
        <v>1875505.51</v>
      </c>
      <c r="G52">
        <v>15.82</v>
      </c>
      <c r="H52">
        <v>33699.821320000003</v>
      </c>
      <c r="I52">
        <v>5.0946560920000001</v>
      </c>
      <c r="J52" s="5">
        <v>34004.129999999997</v>
      </c>
      <c r="K52" s="5">
        <v>9.0299999999999994</v>
      </c>
      <c r="L52" s="5">
        <v>58823.79</v>
      </c>
      <c r="M52" s="5">
        <v>5.0999999999999996</v>
      </c>
    </row>
    <row r="53" spans="1:13" x14ac:dyDescent="0.2">
      <c r="A53">
        <v>2009</v>
      </c>
      <c r="B53">
        <v>4</v>
      </c>
      <c r="D53">
        <v>60750.51</v>
      </c>
      <c r="E53">
        <v>4.57</v>
      </c>
      <c r="F53">
        <v>2212142.16</v>
      </c>
      <c r="G53">
        <v>15.9</v>
      </c>
      <c r="H53">
        <v>2610.2700799999998</v>
      </c>
      <c r="I53">
        <v>3.7030650870000001</v>
      </c>
      <c r="J53" s="5">
        <v>38206.14</v>
      </c>
      <c r="K53" s="5">
        <v>0.9</v>
      </c>
      <c r="L53" s="5">
        <v>85396.13</v>
      </c>
      <c r="M53" s="5">
        <v>5.57</v>
      </c>
    </row>
    <row r="54" spans="1:13" x14ac:dyDescent="0.2">
      <c r="A54">
        <v>2009</v>
      </c>
      <c r="B54">
        <v>5</v>
      </c>
      <c r="D54">
        <v>1571318.65</v>
      </c>
      <c r="E54">
        <v>10.199999999999999</v>
      </c>
      <c r="F54">
        <v>189603.93</v>
      </c>
      <c r="G54">
        <v>11.64</v>
      </c>
      <c r="J54" s="5">
        <v>54275.65</v>
      </c>
      <c r="K54" s="5">
        <v>8.83</v>
      </c>
      <c r="L54" s="5">
        <v>82371.38</v>
      </c>
      <c r="M54" s="5">
        <v>6.76</v>
      </c>
    </row>
    <row r="55" spans="1:13" x14ac:dyDescent="0.2">
      <c r="A55">
        <v>2009</v>
      </c>
      <c r="B55">
        <v>6</v>
      </c>
      <c r="D55">
        <v>2227988.9700000002</v>
      </c>
      <c r="E55">
        <v>9.6999999999999993</v>
      </c>
      <c r="F55">
        <v>2008243.47</v>
      </c>
      <c r="G55">
        <v>16.579999999999998</v>
      </c>
      <c r="H55">
        <v>36477.642520000001</v>
      </c>
      <c r="I55">
        <v>5.8804512899999999</v>
      </c>
      <c r="J55" s="5">
        <v>319267.09000000003</v>
      </c>
      <c r="K55" s="5">
        <v>5.29</v>
      </c>
      <c r="L55" s="5">
        <v>723313.02</v>
      </c>
      <c r="M55" s="5">
        <v>5.54</v>
      </c>
    </row>
    <row r="56" spans="1:13" x14ac:dyDescent="0.2">
      <c r="A56">
        <v>2009</v>
      </c>
      <c r="B56">
        <v>7</v>
      </c>
      <c r="D56">
        <v>674538.76</v>
      </c>
      <c r="E56">
        <v>8.3000000000000007</v>
      </c>
      <c r="F56">
        <v>181949.49</v>
      </c>
      <c r="G56">
        <v>14.96</v>
      </c>
      <c r="H56">
        <v>68221.965899999996</v>
      </c>
      <c r="I56">
        <v>2.2987610799999998</v>
      </c>
      <c r="J56" s="5">
        <v>450292.33</v>
      </c>
      <c r="K56" s="5">
        <v>3.88</v>
      </c>
      <c r="L56" s="5">
        <v>1005670.29</v>
      </c>
      <c r="M56" s="5">
        <v>5.36</v>
      </c>
    </row>
    <row r="57" spans="1:13" x14ac:dyDescent="0.2">
      <c r="A57">
        <v>2009</v>
      </c>
      <c r="B57">
        <v>8</v>
      </c>
      <c r="D57">
        <v>988392.88</v>
      </c>
      <c r="E57">
        <v>11.04</v>
      </c>
      <c r="F57">
        <v>1750717.4</v>
      </c>
      <c r="G57">
        <v>15.82</v>
      </c>
      <c r="H57">
        <v>14625.44908</v>
      </c>
      <c r="I57">
        <v>9.2940735879999998</v>
      </c>
      <c r="J57" s="5">
        <v>109576.45</v>
      </c>
      <c r="K57" s="5">
        <v>6.22</v>
      </c>
      <c r="L57" s="5">
        <v>542011.31999999995</v>
      </c>
      <c r="M57" s="5">
        <v>5.52</v>
      </c>
    </row>
    <row r="58" spans="1:13" x14ac:dyDescent="0.2">
      <c r="A58">
        <v>2009</v>
      </c>
      <c r="B58">
        <v>9</v>
      </c>
      <c r="D58">
        <v>1126867.26</v>
      </c>
      <c r="E58">
        <v>9.75</v>
      </c>
      <c r="F58">
        <v>4662.7700000000004</v>
      </c>
      <c r="G58">
        <v>18.61</v>
      </c>
      <c r="J58" s="5">
        <v>333493.53999999998</v>
      </c>
      <c r="K58" s="5">
        <v>4.28</v>
      </c>
      <c r="L58" s="5">
        <v>598257.91</v>
      </c>
      <c r="M58" s="5">
        <v>5.91</v>
      </c>
    </row>
    <row r="59" spans="1:13" x14ac:dyDescent="0.2">
      <c r="A59">
        <v>2009</v>
      </c>
      <c r="B59">
        <v>10</v>
      </c>
      <c r="D59">
        <v>1206401.1299999999</v>
      </c>
      <c r="E59">
        <v>9.69</v>
      </c>
      <c r="F59">
        <v>1215761.95</v>
      </c>
      <c r="G59">
        <v>15.46</v>
      </c>
      <c r="H59">
        <v>28479.281159999999</v>
      </c>
      <c r="I59">
        <v>3.442572846</v>
      </c>
      <c r="J59" s="5">
        <v>368899.8</v>
      </c>
      <c r="K59" s="5">
        <v>7.04</v>
      </c>
      <c r="L59" s="5">
        <v>365211.47</v>
      </c>
      <c r="M59" s="5">
        <v>6.85</v>
      </c>
    </row>
    <row r="60" spans="1:13" x14ac:dyDescent="0.2">
      <c r="A60">
        <v>2009</v>
      </c>
      <c r="B60">
        <v>11</v>
      </c>
      <c r="D60">
        <v>1065294.43</v>
      </c>
      <c r="E60">
        <v>9.02</v>
      </c>
      <c r="F60">
        <v>17590.66</v>
      </c>
      <c r="G60">
        <v>20.329999999999998</v>
      </c>
      <c r="H60">
        <v>17844.19428</v>
      </c>
      <c r="I60">
        <v>4.5804814</v>
      </c>
      <c r="J60" s="5">
        <v>521600.91</v>
      </c>
      <c r="K60" s="5">
        <v>5.28</v>
      </c>
      <c r="L60" s="5">
        <v>376100.11</v>
      </c>
      <c r="M60" s="5">
        <v>6.47</v>
      </c>
    </row>
    <row r="61" spans="1:13" x14ac:dyDescent="0.2">
      <c r="A61">
        <v>2009</v>
      </c>
      <c r="B61">
        <v>12</v>
      </c>
      <c r="D61">
        <v>886658.48</v>
      </c>
      <c r="E61">
        <v>9.41</v>
      </c>
      <c r="F61">
        <v>694563.33</v>
      </c>
      <c r="G61">
        <v>15.55</v>
      </c>
      <c r="J61" s="5">
        <v>99613.75</v>
      </c>
      <c r="K61" s="5">
        <v>9.8800000000000008</v>
      </c>
      <c r="L61" s="5">
        <v>154440.54999999999</v>
      </c>
      <c r="M61" s="5">
        <v>4.9000000000000004</v>
      </c>
    </row>
    <row r="62" spans="1:13" x14ac:dyDescent="0.2">
      <c r="A62">
        <v>2010</v>
      </c>
      <c r="B62">
        <v>1</v>
      </c>
      <c r="D62">
        <v>692510.83</v>
      </c>
      <c r="E62">
        <v>8.5500000000000007</v>
      </c>
      <c r="F62">
        <v>324224.64000000001</v>
      </c>
      <c r="G62">
        <v>14.44</v>
      </c>
      <c r="H62">
        <v>17841.989659999999</v>
      </c>
      <c r="I62">
        <v>6.7287899099999997</v>
      </c>
      <c r="J62" s="5">
        <v>60671.26</v>
      </c>
      <c r="K62" s="5">
        <v>8.5399999999999991</v>
      </c>
      <c r="L62" s="5">
        <v>57701.63</v>
      </c>
      <c r="M62" s="5">
        <v>7.64</v>
      </c>
    </row>
    <row r="63" spans="1:13" x14ac:dyDescent="0.2">
      <c r="A63">
        <v>2010</v>
      </c>
      <c r="B63">
        <v>2</v>
      </c>
      <c r="D63">
        <v>182990.07</v>
      </c>
      <c r="E63">
        <v>7.92</v>
      </c>
      <c r="F63">
        <v>14524.04</v>
      </c>
      <c r="G63">
        <v>7.43</v>
      </c>
      <c r="H63">
        <v>2548.54072</v>
      </c>
      <c r="I63">
        <v>10.7496811</v>
      </c>
      <c r="J63" s="5">
        <v>70197.45</v>
      </c>
      <c r="K63" s="5">
        <v>9.14</v>
      </c>
      <c r="L63" s="5">
        <v>28252.26</v>
      </c>
      <c r="M63" s="5">
        <v>16.12</v>
      </c>
    </row>
    <row r="64" spans="1:13" x14ac:dyDescent="0.2">
      <c r="A64">
        <v>2010</v>
      </c>
      <c r="B64">
        <v>3</v>
      </c>
      <c r="D64">
        <v>255160.51</v>
      </c>
      <c r="E64">
        <v>5.07</v>
      </c>
      <c r="F64">
        <v>4327.67</v>
      </c>
      <c r="G64">
        <v>3.83</v>
      </c>
      <c r="H64">
        <v>72.752459999999999</v>
      </c>
      <c r="I64">
        <v>13.387863449999999</v>
      </c>
      <c r="J64" s="5">
        <v>19477.86</v>
      </c>
      <c r="K64" s="5">
        <v>13.16</v>
      </c>
      <c r="L64" s="5">
        <v>8441.51</v>
      </c>
      <c r="M64" s="5">
        <v>6.66</v>
      </c>
    </row>
    <row r="65" spans="1:13" x14ac:dyDescent="0.2">
      <c r="A65">
        <v>2010</v>
      </c>
      <c r="B65">
        <v>4</v>
      </c>
      <c r="D65">
        <v>273205.33</v>
      </c>
      <c r="E65">
        <v>7.91</v>
      </c>
      <c r="F65">
        <v>312736.37</v>
      </c>
      <c r="G65">
        <v>14.93</v>
      </c>
      <c r="J65" s="5">
        <v>11320.75</v>
      </c>
      <c r="K65" s="5">
        <v>18.03</v>
      </c>
      <c r="L65" s="5">
        <v>4814.8999999999996</v>
      </c>
      <c r="M65" s="5">
        <v>11.29</v>
      </c>
    </row>
    <row r="66" spans="1:13" x14ac:dyDescent="0.2">
      <c r="A66">
        <v>2010</v>
      </c>
      <c r="B66">
        <v>5</v>
      </c>
      <c r="D66">
        <v>2459604.14</v>
      </c>
      <c r="E66">
        <v>10.130000000000001</v>
      </c>
      <c r="F66">
        <v>542728.93999999994</v>
      </c>
      <c r="G66">
        <v>13.53</v>
      </c>
      <c r="H66">
        <v>33029.616840000002</v>
      </c>
      <c r="I66">
        <v>4.7917600970000001</v>
      </c>
      <c r="J66" s="5">
        <v>252411.86</v>
      </c>
      <c r="K66" s="5">
        <v>5.86</v>
      </c>
      <c r="L66" s="5">
        <v>298905.18</v>
      </c>
      <c r="M66" s="5">
        <v>6.69</v>
      </c>
    </row>
    <row r="67" spans="1:13" x14ac:dyDescent="0.2">
      <c r="A67">
        <v>2010</v>
      </c>
      <c r="B67">
        <v>6</v>
      </c>
      <c r="D67">
        <v>2347957.7799999998</v>
      </c>
      <c r="E67">
        <v>11.93</v>
      </c>
      <c r="F67">
        <v>6530.08</v>
      </c>
      <c r="G67">
        <v>13.05</v>
      </c>
      <c r="H67">
        <v>13086.624320000001</v>
      </c>
      <c r="I67">
        <v>10.91114076</v>
      </c>
      <c r="J67" s="5">
        <v>251091.29</v>
      </c>
      <c r="K67" s="5">
        <v>6.65</v>
      </c>
      <c r="L67" s="5">
        <v>1139537.29</v>
      </c>
      <c r="M67" s="5">
        <v>6.3</v>
      </c>
    </row>
    <row r="68" spans="1:13" x14ac:dyDescent="0.2">
      <c r="A68">
        <v>2010</v>
      </c>
      <c r="B68">
        <v>7</v>
      </c>
      <c r="D68">
        <v>1261159.48</v>
      </c>
      <c r="E68">
        <v>10.4</v>
      </c>
      <c r="F68">
        <v>2695068.58</v>
      </c>
      <c r="G68">
        <v>15.87</v>
      </c>
      <c r="H68">
        <v>9307.9056400000009</v>
      </c>
      <c r="I68">
        <v>9.8005935520000005</v>
      </c>
      <c r="J68" s="5">
        <v>245288.72</v>
      </c>
      <c r="K68" s="5">
        <v>8.6199999999999992</v>
      </c>
      <c r="L68" s="5">
        <v>1118419.2</v>
      </c>
      <c r="M68" s="5">
        <v>6.16</v>
      </c>
    </row>
    <row r="69" spans="1:13" x14ac:dyDescent="0.2">
      <c r="A69">
        <v>2010</v>
      </c>
      <c r="B69">
        <v>8</v>
      </c>
      <c r="D69">
        <v>1757124.03</v>
      </c>
      <c r="E69">
        <v>10.25</v>
      </c>
      <c r="F69">
        <v>4083939.5</v>
      </c>
      <c r="G69">
        <v>14.9</v>
      </c>
      <c r="H69">
        <v>21248.127560000001</v>
      </c>
      <c r="I69">
        <v>10.99386284</v>
      </c>
      <c r="J69" s="5">
        <v>413294.33</v>
      </c>
      <c r="K69" s="5">
        <v>6.41</v>
      </c>
      <c r="L69" s="5">
        <v>628937.46</v>
      </c>
      <c r="M69" s="5">
        <v>6.44</v>
      </c>
    </row>
    <row r="70" spans="1:13" x14ac:dyDescent="0.2">
      <c r="A70">
        <v>2010</v>
      </c>
      <c r="B70">
        <v>9</v>
      </c>
      <c r="D70">
        <v>1654880.37</v>
      </c>
      <c r="E70">
        <v>9.93</v>
      </c>
      <c r="F70">
        <v>191940.83</v>
      </c>
      <c r="G70">
        <v>14.06</v>
      </c>
      <c r="H70">
        <v>1840.8577</v>
      </c>
      <c r="I70">
        <v>10.979664530000001</v>
      </c>
      <c r="J70" s="5">
        <v>114232.61</v>
      </c>
      <c r="K70" s="5">
        <v>9.2100000000000009</v>
      </c>
      <c r="L70" s="5">
        <v>448019.37</v>
      </c>
      <c r="M70" s="5">
        <v>6.5</v>
      </c>
    </row>
    <row r="71" spans="1:13" x14ac:dyDescent="0.2">
      <c r="A71">
        <v>2010</v>
      </c>
      <c r="B71">
        <v>10</v>
      </c>
      <c r="D71">
        <v>1449941.1</v>
      </c>
      <c r="E71">
        <v>11</v>
      </c>
      <c r="F71">
        <v>23360.15</v>
      </c>
      <c r="G71">
        <v>12.84</v>
      </c>
      <c r="H71">
        <v>52963.79088</v>
      </c>
      <c r="I71">
        <v>1.2274989940000001</v>
      </c>
      <c r="J71" s="5">
        <v>362777.56</v>
      </c>
      <c r="K71" s="5">
        <v>5.32</v>
      </c>
      <c r="L71" s="5">
        <v>518084.53</v>
      </c>
      <c r="M71" s="5">
        <v>7.2</v>
      </c>
    </row>
    <row r="72" spans="1:13" x14ac:dyDescent="0.2">
      <c r="A72">
        <v>2010</v>
      </c>
      <c r="B72">
        <v>11</v>
      </c>
      <c r="D72">
        <v>1118694.74</v>
      </c>
      <c r="E72">
        <v>11.6</v>
      </c>
      <c r="F72">
        <v>1486376.85</v>
      </c>
      <c r="G72">
        <v>15.69</v>
      </c>
      <c r="H72">
        <v>1840.8577</v>
      </c>
      <c r="I72">
        <v>11.20130035</v>
      </c>
      <c r="J72" s="5">
        <v>344637.91</v>
      </c>
      <c r="K72" s="5">
        <v>6.9</v>
      </c>
      <c r="L72" s="5">
        <v>330951.59999999998</v>
      </c>
      <c r="M72" s="5">
        <v>5.77</v>
      </c>
    </row>
    <row r="73" spans="1:13" x14ac:dyDescent="0.2">
      <c r="A73">
        <v>2010</v>
      </c>
      <c r="B73">
        <v>12</v>
      </c>
      <c r="D73">
        <v>1545870.73</v>
      </c>
      <c r="E73">
        <v>11.64</v>
      </c>
      <c r="F73">
        <v>2220279.42</v>
      </c>
      <c r="G73">
        <v>14.59</v>
      </c>
      <c r="H73">
        <v>12246.6641</v>
      </c>
      <c r="I73">
        <v>6.4660057100000001</v>
      </c>
      <c r="J73" s="5">
        <v>80475.41</v>
      </c>
      <c r="K73" s="5">
        <v>6.51</v>
      </c>
      <c r="L73" s="5">
        <v>82695.460000000006</v>
      </c>
      <c r="M73" s="5">
        <v>5.04</v>
      </c>
    </row>
    <row r="74" spans="1:13" x14ac:dyDescent="0.2">
      <c r="A74">
        <v>2011</v>
      </c>
      <c r="B74">
        <v>1</v>
      </c>
      <c r="D74">
        <v>784181.13</v>
      </c>
      <c r="E74">
        <v>11.85</v>
      </c>
      <c r="F74">
        <v>121631.09</v>
      </c>
      <c r="G74">
        <v>12.81</v>
      </c>
      <c r="H74">
        <v>1496.9369799999999</v>
      </c>
      <c r="I74">
        <v>19.837842469999998</v>
      </c>
      <c r="J74" s="5">
        <v>46579.3</v>
      </c>
      <c r="K74" s="5">
        <v>20.71</v>
      </c>
      <c r="L74" s="5">
        <v>23578.46</v>
      </c>
      <c r="M74" s="5">
        <v>5.98</v>
      </c>
    </row>
    <row r="75" spans="1:13" x14ac:dyDescent="0.2">
      <c r="A75">
        <v>2011</v>
      </c>
      <c r="B75">
        <v>2</v>
      </c>
      <c r="D75">
        <v>207472.38</v>
      </c>
      <c r="E75">
        <v>7.6</v>
      </c>
      <c r="F75">
        <v>99642.21</v>
      </c>
      <c r="G75">
        <v>17.12</v>
      </c>
      <c r="H75">
        <v>1829.8345999999999</v>
      </c>
      <c r="I75">
        <v>11.41469289</v>
      </c>
      <c r="J75" s="5">
        <v>39361.360000000001</v>
      </c>
      <c r="K75" s="5">
        <v>18.34</v>
      </c>
      <c r="L75" s="5">
        <v>9193.2800000000007</v>
      </c>
      <c r="M75" s="5">
        <v>11.13</v>
      </c>
    </row>
    <row r="76" spans="1:13" x14ac:dyDescent="0.2">
      <c r="A76">
        <v>2011</v>
      </c>
      <c r="B76">
        <v>3</v>
      </c>
      <c r="D76">
        <v>157952.20000000001</v>
      </c>
      <c r="E76">
        <v>8.58</v>
      </c>
      <c r="F76">
        <v>2490563.62</v>
      </c>
      <c r="G76">
        <v>15.99</v>
      </c>
      <c r="J76" s="5">
        <v>15306.71</v>
      </c>
      <c r="K76" s="5">
        <v>22.52</v>
      </c>
      <c r="L76" s="5">
        <v>29090.02</v>
      </c>
      <c r="M76" s="5">
        <v>11.36</v>
      </c>
    </row>
    <row r="77" spans="1:13" x14ac:dyDescent="0.2">
      <c r="A77">
        <v>2011</v>
      </c>
      <c r="B77">
        <v>4</v>
      </c>
      <c r="D77">
        <v>167275.54</v>
      </c>
      <c r="E77">
        <v>7.3</v>
      </c>
      <c r="F77">
        <v>1878649.3</v>
      </c>
      <c r="G77">
        <v>14.6</v>
      </c>
      <c r="J77" s="5">
        <v>36850.300000000003</v>
      </c>
      <c r="K77" s="5">
        <v>3.04</v>
      </c>
      <c r="L77" s="5">
        <v>16830.099999999999</v>
      </c>
      <c r="M77" s="5">
        <v>19.55</v>
      </c>
    </row>
    <row r="78" spans="1:13" x14ac:dyDescent="0.2">
      <c r="A78">
        <v>2011</v>
      </c>
      <c r="B78">
        <v>5</v>
      </c>
      <c r="D78">
        <v>1532962.68</v>
      </c>
      <c r="E78">
        <v>11.32</v>
      </c>
      <c r="F78">
        <v>116858.09</v>
      </c>
      <c r="G78">
        <v>10.32</v>
      </c>
      <c r="H78">
        <v>35935.305999999997</v>
      </c>
      <c r="I78">
        <v>7.202637985</v>
      </c>
      <c r="J78" s="5">
        <v>39958.82</v>
      </c>
      <c r="K78" s="5">
        <v>9.4</v>
      </c>
      <c r="L78" s="5">
        <v>40679.730000000003</v>
      </c>
      <c r="M78" s="5">
        <v>7.24</v>
      </c>
    </row>
    <row r="79" spans="1:13" x14ac:dyDescent="0.2">
      <c r="A79">
        <v>2011</v>
      </c>
      <c r="B79">
        <v>6</v>
      </c>
      <c r="D79">
        <v>2554647.52</v>
      </c>
      <c r="E79">
        <v>11.78</v>
      </c>
      <c r="F79">
        <v>83151.649999999994</v>
      </c>
      <c r="G79">
        <v>11.55</v>
      </c>
      <c r="H79">
        <v>89990.383780000004</v>
      </c>
      <c r="I79">
        <v>4.1657450970000003</v>
      </c>
      <c r="J79" s="5">
        <v>379642.94</v>
      </c>
      <c r="K79" s="5">
        <v>7.69</v>
      </c>
      <c r="L79" s="5">
        <v>264969.40000000002</v>
      </c>
      <c r="M79" s="5">
        <v>6.95</v>
      </c>
    </row>
    <row r="80" spans="1:13" x14ac:dyDescent="0.2">
      <c r="A80">
        <v>2011</v>
      </c>
      <c r="B80">
        <v>7</v>
      </c>
      <c r="D80">
        <v>1236441.29</v>
      </c>
      <c r="E80">
        <v>13.19</v>
      </c>
      <c r="F80">
        <v>1690654.74</v>
      </c>
      <c r="G80">
        <v>12.28</v>
      </c>
      <c r="H80">
        <v>1953.29332</v>
      </c>
      <c r="I80">
        <v>17.47151831</v>
      </c>
      <c r="J80" s="5">
        <v>276466.52</v>
      </c>
      <c r="K80" s="5">
        <v>9.08</v>
      </c>
      <c r="L80" s="5">
        <v>1605641.19</v>
      </c>
      <c r="M80" s="5">
        <v>7.09</v>
      </c>
    </row>
    <row r="81" spans="1:26" x14ac:dyDescent="0.2">
      <c r="A81">
        <v>2011</v>
      </c>
      <c r="B81">
        <v>8</v>
      </c>
      <c r="D81">
        <v>2158832.25</v>
      </c>
      <c r="E81">
        <v>11.88</v>
      </c>
      <c r="F81">
        <v>1725595.76</v>
      </c>
      <c r="G81">
        <v>13.48</v>
      </c>
      <c r="H81">
        <v>23710.688099999999</v>
      </c>
      <c r="I81">
        <v>7.9688113310000004</v>
      </c>
      <c r="J81" s="5">
        <v>1779941</v>
      </c>
      <c r="K81" s="5">
        <v>4.63</v>
      </c>
      <c r="L81" s="5">
        <v>526323.22</v>
      </c>
      <c r="M81" s="5">
        <v>8.44</v>
      </c>
    </row>
    <row r="82" spans="1:26" x14ac:dyDescent="0.2">
      <c r="A82">
        <v>2011</v>
      </c>
      <c r="B82">
        <v>9</v>
      </c>
      <c r="D82">
        <v>1721605.39</v>
      </c>
      <c r="E82">
        <v>11.27</v>
      </c>
      <c r="F82">
        <v>42319.89</v>
      </c>
      <c r="G82">
        <v>9.75</v>
      </c>
      <c r="H82">
        <v>74780.710399999996</v>
      </c>
      <c r="I82">
        <v>7.2658175759999999</v>
      </c>
      <c r="J82" s="5">
        <v>1374777.33</v>
      </c>
      <c r="K82" s="5">
        <v>4.99</v>
      </c>
      <c r="L82" s="5">
        <v>651847.92000000004</v>
      </c>
      <c r="M82" s="5">
        <v>7.16</v>
      </c>
    </row>
    <row r="83" spans="1:26" x14ac:dyDescent="0.2">
      <c r="A83">
        <v>2011</v>
      </c>
      <c r="B83">
        <v>10</v>
      </c>
      <c r="D83">
        <v>1595871.51</v>
      </c>
      <c r="E83">
        <v>11.37</v>
      </c>
      <c r="F83">
        <v>1261.04</v>
      </c>
      <c r="G83">
        <v>12.63</v>
      </c>
      <c r="H83">
        <v>89800.786460000003</v>
      </c>
      <c r="I83">
        <v>4.8725074380000004</v>
      </c>
      <c r="J83" s="5">
        <v>489880.77</v>
      </c>
      <c r="K83" s="5">
        <v>7.42</v>
      </c>
      <c r="L83" s="5">
        <v>517689.91</v>
      </c>
      <c r="M83" s="5">
        <v>6.43</v>
      </c>
    </row>
    <row r="84" spans="1:26" x14ac:dyDescent="0.2">
      <c r="A84">
        <v>2011</v>
      </c>
      <c r="B84">
        <v>11</v>
      </c>
      <c r="D84">
        <v>1435432.49</v>
      </c>
      <c r="E84">
        <v>10.34</v>
      </c>
      <c r="F84">
        <v>571827.72</v>
      </c>
      <c r="G84">
        <v>11.06</v>
      </c>
      <c r="H84">
        <v>24621.19616</v>
      </c>
      <c r="I84">
        <v>5.2517757119999997</v>
      </c>
      <c r="J84" s="5">
        <v>800375.67</v>
      </c>
      <c r="K84" s="5">
        <v>4.43</v>
      </c>
      <c r="L84" s="5">
        <v>440697.81</v>
      </c>
      <c r="M84" s="5">
        <v>6.5</v>
      </c>
    </row>
    <row r="85" spans="1:26" x14ac:dyDescent="0.2">
      <c r="A85">
        <v>2011</v>
      </c>
      <c r="B85">
        <v>12</v>
      </c>
      <c r="D85">
        <v>1964878.6</v>
      </c>
      <c r="E85">
        <v>10.37</v>
      </c>
      <c r="F85">
        <v>15489.66</v>
      </c>
      <c r="G85">
        <v>10.74</v>
      </c>
      <c r="J85" s="5">
        <v>193506.5</v>
      </c>
      <c r="K85" s="5">
        <v>10.4</v>
      </c>
      <c r="L85" s="5">
        <v>83246.62</v>
      </c>
      <c r="M85" s="5">
        <v>6.29</v>
      </c>
      <c r="P85" s="1" t="s">
        <v>0</v>
      </c>
      <c r="Q85" s="1" t="s">
        <v>284</v>
      </c>
      <c r="R85" s="1" t="s">
        <v>285</v>
      </c>
      <c r="S85" s="1" t="s">
        <v>286</v>
      </c>
      <c r="T85" s="1" t="s">
        <v>287</v>
      </c>
      <c r="U85" s="1" t="s">
        <v>288</v>
      </c>
      <c r="V85" s="1" t="s">
        <v>289</v>
      </c>
      <c r="W85" s="1" t="s">
        <v>290</v>
      </c>
      <c r="X85" s="1" t="s">
        <v>291</v>
      </c>
      <c r="Y85" s="4" t="s">
        <v>292</v>
      </c>
      <c r="Z85" s="4" t="s">
        <v>293</v>
      </c>
    </row>
    <row r="86" spans="1:26" x14ac:dyDescent="0.2">
      <c r="A86">
        <v>2012</v>
      </c>
      <c r="B86">
        <v>1</v>
      </c>
      <c r="C86" t="str">
        <f>TEXT(DATE(A86,B86,1),"mm/yyyy")</f>
        <v>01/2012</v>
      </c>
      <c r="D86">
        <v>830559.72</v>
      </c>
      <c r="E86">
        <v>12.22</v>
      </c>
      <c r="F86">
        <v>317665.90000000002</v>
      </c>
      <c r="G86">
        <v>11.12</v>
      </c>
      <c r="H86">
        <v>1104.5146199999999</v>
      </c>
      <c r="I86">
        <v>19.27634059</v>
      </c>
      <c r="J86" s="5">
        <v>81253.64</v>
      </c>
      <c r="K86" s="5">
        <v>20.059999999999999</v>
      </c>
      <c r="L86" s="5">
        <v>9173.44</v>
      </c>
      <c r="M86" s="5">
        <v>11.8</v>
      </c>
      <c r="P86" t="s">
        <v>128</v>
      </c>
      <c r="Q86">
        <v>830559.72</v>
      </c>
      <c r="R86">
        <v>12.22</v>
      </c>
      <c r="S86">
        <v>317665.90000000002</v>
      </c>
      <c r="T86">
        <v>11.12</v>
      </c>
      <c r="U86">
        <v>1104.5146199999999</v>
      </c>
      <c r="V86">
        <v>19.27634059</v>
      </c>
      <c r="W86" s="5">
        <v>81253.64</v>
      </c>
      <c r="X86" s="5">
        <v>20.059999999999999</v>
      </c>
      <c r="Y86" s="5">
        <v>9173.44</v>
      </c>
      <c r="Z86" s="5">
        <v>11.8</v>
      </c>
    </row>
    <row r="87" spans="1:26" x14ac:dyDescent="0.2">
      <c r="A87">
        <v>2012</v>
      </c>
      <c r="B87">
        <v>2</v>
      </c>
      <c r="C87" t="str">
        <f t="shared" ref="C87:C150" si="0">TEXT(DATE(A87,B87,1),"mm/yyyy")</f>
        <v>02/2012</v>
      </c>
      <c r="D87">
        <v>258553.42</v>
      </c>
      <c r="E87">
        <v>10.16</v>
      </c>
      <c r="F87">
        <v>143.30000000000001</v>
      </c>
      <c r="G87">
        <v>15.09</v>
      </c>
      <c r="H87">
        <v>6064.9096200000004</v>
      </c>
      <c r="I87">
        <v>8.4172730009999999</v>
      </c>
      <c r="J87" s="5">
        <v>103998.75</v>
      </c>
      <c r="K87" s="5">
        <v>3.83</v>
      </c>
      <c r="L87" s="5">
        <v>0</v>
      </c>
      <c r="M87" s="5">
        <v>0</v>
      </c>
      <c r="P87" t="s">
        <v>129</v>
      </c>
      <c r="Q87">
        <v>258553.42</v>
      </c>
      <c r="R87">
        <v>10.16</v>
      </c>
      <c r="S87">
        <v>143.30000000000001</v>
      </c>
      <c r="T87">
        <v>15.09</v>
      </c>
      <c r="U87">
        <v>6064.9096200000004</v>
      </c>
      <c r="V87">
        <v>8.4172730009999999</v>
      </c>
      <c r="W87" s="5">
        <v>103998.75</v>
      </c>
      <c r="X87" s="5">
        <v>3.83</v>
      </c>
      <c r="Y87" s="5">
        <v>0</v>
      </c>
      <c r="Z87" s="5">
        <v>0</v>
      </c>
    </row>
    <row r="88" spans="1:26" x14ac:dyDescent="0.2">
      <c r="A88">
        <v>2012</v>
      </c>
      <c r="B88">
        <v>3</v>
      </c>
      <c r="C88" t="str">
        <f t="shared" si="0"/>
        <v>03/2012</v>
      </c>
      <c r="D88">
        <v>67518.69</v>
      </c>
      <c r="E88">
        <v>13.07</v>
      </c>
      <c r="F88">
        <v>481929.93</v>
      </c>
      <c r="G88">
        <v>8.74</v>
      </c>
      <c r="H88">
        <v>5277.8602799999999</v>
      </c>
      <c r="I88">
        <v>3.7727410250000002</v>
      </c>
      <c r="J88" s="5">
        <v>12213.62</v>
      </c>
      <c r="K88" s="5">
        <v>10.3</v>
      </c>
      <c r="L88" s="5">
        <v>21190.85</v>
      </c>
      <c r="M88" s="5">
        <v>5.94</v>
      </c>
      <c r="P88" t="s">
        <v>130</v>
      </c>
      <c r="Q88">
        <v>67518.69</v>
      </c>
      <c r="R88">
        <v>13.07</v>
      </c>
      <c r="S88">
        <v>481929.93</v>
      </c>
      <c r="T88">
        <v>8.74</v>
      </c>
      <c r="U88">
        <v>5277.8602799999999</v>
      </c>
      <c r="V88">
        <v>3.7727410250000002</v>
      </c>
      <c r="W88" s="5">
        <v>12213.62</v>
      </c>
      <c r="X88" s="5">
        <v>10.3</v>
      </c>
      <c r="Y88" s="5">
        <v>21190.85</v>
      </c>
      <c r="Z88" s="5">
        <v>5.94</v>
      </c>
    </row>
    <row r="89" spans="1:26" x14ac:dyDescent="0.2">
      <c r="A89">
        <v>2012</v>
      </c>
      <c r="B89">
        <v>4</v>
      </c>
      <c r="C89" t="str">
        <f t="shared" si="0"/>
        <v>04/2012</v>
      </c>
      <c r="D89">
        <v>94293.8</v>
      </c>
      <c r="E89">
        <v>13.87</v>
      </c>
      <c r="F89">
        <v>335192.63</v>
      </c>
      <c r="G89">
        <v>10.5</v>
      </c>
      <c r="J89" s="5">
        <v>26391.56</v>
      </c>
      <c r="K89" s="5">
        <v>18.170000000000002</v>
      </c>
      <c r="L89" s="5">
        <v>0</v>
      </c>
      <c r="M89" s="5">
        <v>0</v>
      </c>
      <c r="P89" t="s">
        <v>131</v>
      </c>
      <c r="Q89">
        <v>94293.8</v>
      </c>
      <c r="R89">
        <v>13.87</v>
      </c>
      <c r="S89">
        <v>335192.63</v>
      </c>
      <c r="T89">
        <v>10.5</v>
      </c>
      <c r="W89" s="5">
        <v>26391.56</v>
      </c>
      <c r="X89" s="5">
        <v>18.170000000000002</v>
      </c>
      <c r="Y89" s="5">
        <v>0</v>
      </c>
      <c r="Z89" s="5">
        <v>0</v>
      </c>
    </row>
    <row r="90" spans="1:26" x14ac:dyDescent="0.2">
      <c r="A90">
        <v>2012</v>
      </c>
      <c r="B90">
        <v>5</v>
      </c>
      <c r="C90" t="str">
        <f t="shared" si="0"/>
        <v>05/2012</v>
      </c>
      <c r="D90">
        <v>1944880.49</v>
      </c>
      <c r="E90">
        <v>12.36</v>
      </c>
      <c r="F90">
        <v>14301.37</v>
      </c>
      <c r="G90">
        <v>3.88</v>
      </c>
      <c r="H90">
        <v>69696.856679999997</v>
      </c>
      <c r="I90">
        <v>5.9328500550000003</v>
      </c>
      <c r="J90" s="5">
        <v>33038.5</v>
      </c>
      <c r="K90" s="5">
        <v>13.48</v>
      </c>
      <c r="L90" s="5">
        <v>2482.41</v>
      </c>
      <c r="M90" s="5">
        <v>12.1</v>
      </c>
      <c r="P90" t="s">
        <v>132</v>
      </c>
      <c r="Q90">
        <v>1944880.49</v>
      </c>
      <c r="R90">
        <v>12.36</v>
      </c>
      <c r="S90">
        <v>14301.37</v>
      </c>
      <c r="T90">
        <v>3.88</v>
      </c>
      <c r="U90">
        <v>69696.856679999997</v>
      </c>
      <c r="V90">
        <v>5.9328500550000003</v>
      </c>
      <c r="W90" s="5">
        <v>33038.5</v>
      </c>
      <c r="X90" s="5">
        <v>13.48</v>
      </c>
      <c r="Y90" s="5">
        <v>2482.41</v>
      </c>
      <c r="Z90" s="5">
        <v>12.1</v>
      </c>
    </row>
    <row r="91" spans="1:26" x14ac:dyDescent="0.2">
      <c r="A91">
        <v>2012</v>
      </c>
      <c r="B91">
        <v>6</v>
      </c>
      <c r="C91" t="str">
        <f t="shared" si="0"/>
        <v>06/2012</v>
      </c>
      <c r="D91">
        <v>3463843.83</v>
      </c>
      <c r="E91">
        <v>12.17</v>
      </c>
      <c r="F91">
        <v>2539239.4300000002</v>
      </c>
      <c r="G91">
        <v>10.84</v>
      </c>
      <c r="H91">
        <v>85444.457339999994</v>
      </c>
      <c r="I91">
        <v>6.1944568020000004</v>
      </c>
      <c r="J91" s="5">
        <v>207499.25</v>
      </c>
      <c r="K91" s="5">
        <v>5.81</v>
      </c>
      <c r="L91" s="5">
        <v>763130.74</v>
      </c>
      <c r="M91" s="5">
        <v>5.9</v>
      </c>
      <c r="P91" t="s">
        <v>133</v>
      </c>
      <c r="Q91">
        <v>3463843.83</v>
      </c>
      <c r="R91">
        <v>12.17</v>
      </c>
      <c r="S91">
        <v>2539239.4300000002</v>
      </c>
      <c r="T91">
        <v>10.84</v>
      </c>
      <c r="U91">
        <v>85444.457339999994</v>
      </c>
      <c r="V91">
        <v>6.1944568020000004</v>
      </c>
      <c r="W91" s="5">
        <v>207499.25</v>
      </c>
      <c r="X91" s="5">
        <v>5.81</v>
      </c>
      <c r="Y91" s="5">
        <v>763130.74</v>
      </c>
      <c r="Z91" s="5">
        <v>5.9</v>
      </c>
    </row>
    <row r="92" spans="1:26" x14ac:dyDescent="0.2">
      <c r="A92">
        <v>2012</v>
      </c>
      <c r="B92">
        <v>7</v>
      </c>
      <c r="C92" t="str">
        <f t="shared" si="0"/>
        <v>07/2012</v>
      </c>
      <c r="D92">
        <v>2200607.59</v>
      </c>
      <c r="E92">
        <v>11.84</v>
      </c>
      <c r="F92">
        <v>60214.79</v>
      </c>
      <c r="G92">
        <v>9.1300000000000008</v>
      </c>
      <c r="H92">
        <v>16499.376079999998</v>
      </c>
      <c r="I92">
        <v>4.5439900050000004</v>
      </c>
      <c r="J92" s="5">
        <v>309725.48</v>
      </c>
      <c r="K92" s="5">
        <v>9.42</v>
      </c>
      <c r="L92" s="5">
        <v>1580856.81</v>
      </c>
      <c r="M92" s="5">
        <v>5.71</v>
      </c>
      <c r="P92" t="s">
        <v>134</v>
      </c>
      <c r="Q92">
        <v>2200607.59</v>
      </c>
      <c r="R92">
        <v>11.84</v>
      </c>
      <c r="S92">
        <v>60214.79</v>
      </c>
      <c r="T92">
        <v>9.1300000000000008</v>
      </c>
      <c r="U92">
        <v>16499.376079999998</v>
      </c>
      <c r="V92">
        <v>4.5439900050000004</v>
      </c>
      <c r="W92" s="5">
        <v>309725.48</v>
      </c>
      <c r="X92" s="5">
        <v>9.42</v>
      </c>
      <c r="Y92" s="5">
        <v>1580856.81</v>
      </c>
      <c r="Z92" s="5">
        <v>5.71</v>
      </c>
    </row>
    <row r="93" spans="1:26" x14ac:dyDescent="0.2">
      <c r="A93">
        <v>2012</v>
      </c>
      <c r="B93">
        <v>8</v>
      </c>
      <c r="C93" t="str">
        <f t="shared" si="0"/>
        <v>08/2012</v>
      </c>
      <c r="D93">
        <v>1922413.21</v>
      </c>
      <c r="E93">
        <v>11.46</v>
      </c>
      <c r="F93">
        <v>3110643.86</v>
      </c>
      <c r="G93">
        <v>11.14</v>
      </c>
      <c r="H93">
        <v>196605.807</v>
      </c>
      <c r="I93">
        <v>4.7286853539999996</v>
      </c>
      <c r="J93" s="5">
        <v>163131.18</v>
      </c>
      <c r="K93" s="5">
        <v>8.66</v>
      </c>
      <c r="L93" s="5">
        <v>805710.86</v>
      </c>
      <c r="M93" s="5">
        <v>6.91</v>
      </c>
      <c r="P93" t="s">
        <v>135</v>
      </c>
      <c r="Q93">
        <v>1922413.21</v>
      </c>
      <c r="R93">
        <v>11.46</v>
      </c>
      <c r="S93">
        <v>3110643.86</v>
      </c>
      <c r="T93">
        <v>11.14</v>
      </c>
      <c r="U93">
        <v>196605.807</v>
      </c>
      <c r="V93">
        <v>4.7286853539999996</v>
      </c>
      <c r="W93" s="5">
        <v>163131.18</v>
      </c>
      <c r="X93" s="5">
        <v>8.66</v>
      </c>
      <c r="Y93" s="5">
        <v>805710.86</v>
      </c>
      <c r="Z93" s="5">
        <v>6.91</v>
      </c>
    </row>
    <row r="94" spans="1:26" x14ac:dyDescent="0.2">
      <c r="A94">
        <v>2012</v>
      </c>
      <c r="B94">
        <v>9</v>
      </c>
      <c r="C94" t="str">
        <f t="shared" si="0"/>
        <v>09/2012</v>
      </c>
      <c r="D94">
        <v>1857943.51</v>
      </c>
      <c r="E94">
        <v>11.07</v>
      </c>
      <c r="F94">
        <v>48629.51</v>
      </c>
      <c r="G94">
        <v>4.28</v>
      </c>
      <c r="H94">
        <v>103251.1731</v>
      </c>
      <c r="I94">
        <v>6.789821162</v>
      </c>
      <c r="J94" s="5">
        <v>124896.38</v>
      </c>
      <c r="K94" s="5">
        <v>6.34</v>
      </c>
      <c r="L94" s="5">
        <v>435512.53</v>
      </c>
      <c r="M94" s="5">
        <v>5.88</v>
      </c>
      <c r="P94" t="s">
        <v>136</v>
      </c>
      <c r="Q94">
        <v>1857943.51</v>
      </c>
      <c r="R94">
        <v>11.07</v>
      </c>
      <c r="S94">
        <v>48629.51</v>
      </c>
      <c r="T94">
        <v>4.28</v>
      </c>
      <c r="U94">
        <v>103251.1731</v>
      </c>
      <c r="V94">
        <v>6.789821162</v>
      </c>
      <c r="W94" s="5">
        <v>124896.38</v>
      </c>
      <c r="X94" s="5">
        <v>6.34</v>
      </c>
      <c r="Y94" s="5">
        <v>435512.53</v>
      </c>
      <c r="Z94" s="5">
        <v>5.88</v>
      </c>
    </row>
    <row r="95" spans="1:26" x14ac:dyDescent="0.2">
      <c r="A95">
        <v>2012</v>
      </c>
      <c r="B95">
        <v>10</v>
      </c>
      <c r="C95" t="str">
        <f t="shared" si="0"/>
        <v>10/2012</v>
      </c>
      <c r="D95">
        <v>2261973.19</v>
      </c>
      <c r="E95">
        <v>10.42</v>
      </c>
      <c r="F95">
        <v>1276023.03</v>
      </c>
      <c r="G95">
        <v>10.41</v>
      </c>
      <c r="H95">
        <v>106648.49249999999</v>
      </c>
      <c r="I95">
        <v>4.2246448069999998</v>
      </c>
      <c r="J95" s="5">
        <v>170666.59</v>
      </c>
      <c r="K95" s="5">
        <v>5.12</v>
      </c>
      <c r="L95" s="5">
        <v>502830.74</v>
      </c>
      <c r="M95" s="5">
        <v>6.81</v>
      </c>
      <c r="P95" t="s">
        <v>137</v>
      </c>
      <c r="Q95">
        <v>2261973.19</v>
      </c>
      <c r="R95">
        <v>10.42</v>
      </c>
      <c r="S95">
        <v>1276023.03</v>
      </c>
      <c r="T95">
        <v>10.41</v>
      </c>
      <c r="U95">
        <v>106648.49249999999</v>
      </c>
      <c r="V95">
        <v>4.2246448069999998</v>
      </c>
      <c r="W95" s="5">
        <v>170666.59</v>
      </c>
      <c r="X95" s="5">
        <v>5.12</v>
      </c>
      <c r="Y95" s="5">
        <v>502830.74</v>
      </c>
      <c r="Z95" s="5">
        <v>6.81</v>
      </c>
    </row>
    <row r="96" spans="1:26" x14ac:dyDescent="0.2">
      <c r="A96">
        <v>2012</v>
      </c>
      <c r="B96">
        <v>11</v>
      </c>
      <c r="C96" t="str">
        <f t="shared" si="0"/>
        <v>11/2012</v>
      </c>
      <c r="D96">
        <v>1408743.36</v>
      </c>
      <c r="E96">
        <v>10.3</v>
      </c>
      <c r="F96">
        <v>54610.64</v>
      </c>
      <c r="G96">
        <v>13.02</v>
      </c>
      <c r="H96">
        <v>16411.191279999999</v>
      </c>
      <c r="I96">
        <v>3.9594322489999998</v>
      </c>
      <c r="J96" s="5">
        <v>256640.33</v>
      </c>
      <c r="K96" s="5">
        <v>6</v>
      </c>
      <c r="L96" s="5">
        <v>389693.82</v>
      </c>
      <c r="M96" s="5">
        <v>6.57</v>
      </c>
      <c r="P96" t="s">
        <v>138</v>
      </c>
      <c r="Q96">
        <v>1408743.36</v>
      </c>
      <c r="R96">
        <v>10.3</v>
      </c>
      <c r="S96">
        <v>54610.64</v>
      </c>
      <c r="T96">
        <v>13.02</v>
      </c>
      <c r="U96">
        <v>16411.191279999999</v>
      </c>
      <c r="V96">
        <v>3.9594322489999998</v>
      </c>
      <c r="W96" s="5">
        <v>256640.33</v>
      </c>
      <c r="X96" s="5">
        <v>6</v>
      </c>
      <c r="Y96" s="5">
        <v>389693.82</v>
      </c>
      <c r="Z96" s="5">
        <v>6.57</v>
      </c>
    </row>
    <row r="97" spans="1:26" x14ac:dyDescent="0.2">
      <c r="A97">
        <v>2012</v>
      </c>
      <c r="B97">
        <v>12</v>
      </c>
      <c r="C97" t="str">
        <f t="shared" si="0"/>
        <v>12/2012</v>
      </c>
      <c r="D97">
        <v>2273333.6</v>
      </c>
      <c r="E97">
        <v>10.63</v>
      </c>
      <c r="F97">
        <v>1750673.31</v>
      </c>
      <c r="G97">
        <v>12.51</v>
      </c>
      <c r="H97">
        <v>44658.98734</v>
      </c>
      <c r="I97">
        <v>8.7265077689999995</v>
      </c>
      <c r="J97" s="5">
        <v>166601.26</v>
      </c>
      <c r="K97" s="5">
        <v>5.99</v>
      </c>
      <c r="L97" s="5">
        <v>179317.54</v>
      </c>
      <c r="M97" s="5">
        <v>3.51</v>
      </c>
      <c r="P97" t="s">
        <v>139</v>
      </c>
      <c r="Q97">
        <v>2273333.6</v>
      </c>
      <c r="R97">
        <v>10.63</v>
      </c>
      <c r="S97">
        <v>1750673.31</v>
      </c>
      <c r="T97">
        <v>12.51</v>
      </c>
      <c r="U97">
        <v>44658.98734</v>
      </c>
      <c r="V97">
        <v>8.7265077689999995</v>
      </c>
      <c r="W97" s="5">
        <v>166601.26</v>
      </c>
      <c r="X97" s="5">
        <v>5.99</v>
      </c>
      <c r="Y97" s="5">
        <v>179317.54</v>
      </c>
      <c r="Z97" s="5">
        <v>3.51</v>
      </c>
    </row>
    <row r="98" spans="1:26" x14ac:dyDescent="0.2">
      <c r="A98">
        <v>2013</v>
      </c>
      <c r="B98">
        <v>1</v>
      </c>
      <c r="C98" t="str">
        <f t="shared" si="0"/>
        <v>01/2013</v>
      </c>
      <c r="D98">
        <v>775779.32</v>
      </c>
      <c r="E98">
        <v>11.74</v>
      </c>
      <c r="F98">
        <v>72073.440000000002</v>
      </c>
      <c r="G98">
        <v>10.94</v>
      </c>
      <c r="J98" s="5">
        <v>87001.09</v>
      </c>
      <c r="K98" s="5">
        <v>10.17</v>
      </c>
      <c r="L98" s="5">
        <v>141345.09</v>
      </c>
      <c r="M98" s="5">
        <v>7.98</v>
      </c>
      <c r="P98" t="s">
        <v>140</v>
      </c>
      <c r="Q98">
        <v>775779.32</v>
      </c>
      <c r="R98">
        <v>11.74</v>
      </c>
      <c r="S98">
        <v>72073.440000000002</v>
      </c>
      <c r="T98">
        <v>10.94</v>
      </c>
      <c r="W98" s="5">
        <v>87001.09</v>
      </c>
      <c r="X98" s="5">
        <v>10.17</v>
      </c>
      <c r="Y98" s="5">
        <v>141345.09</v>
      </c>
      <c r="Z98" s="5">
        <v>7.98</v>
      </c>
    </row>
    <row r="99" spans="1:26" x14ac:dyDescent="0.2">
      <c r="A99">
        <v>2013</v>
      </c>
      <c r="B99">
        <v>2</v>
      </c>
      <c r="C99" t="str">
        <f t="shared" si="0"/>
        <v>02/2013</v>
      </c>
      <c r="D99">
        <v>186585.81</v>
      </c>
      <c r="E99">
        <v>10.44</v>
      </c>
      <c r="F99">
        <v>2556680.1800000002</v>
      </c>
      <c r="G99">
        <v>11.35</v>
      </c>
      <c r="H99">
        <v>7517.7542000000003</v>
      </c>
      <c r="I99">
        <v>22.032909780000001</v>
      </c>
      <c r="J99" s="5">
        <v>89595.94</v>
      </c>
      <c r="K99" s="5">
        <v>8.7200000000000006</v>
      </c>
      <c r="L99" s="5">
        <v>11091.47</v>
      </c>
      <c r="M99" s="5">
        <v>10.61</v>
      </c>
      <c r="P99" t="s">
        <v>141</v>
      </c>
      <c r="Q99">
        <v>186585.81</v>
      </c>
      <c r="R99">
        <v>10.44</v>
      </c>
      <c r="S99">
        <v>2556680.1800000002</v>
      </c>
      <c r="T99">
        <v>11.35</v>
      </c>
      <c r="U99">
        <v>7517.7542000000003</v>
      </c>
      <c r="V99">
        <v>22.032909780000001</v>
      </c>
      <c r="W99" s="5">
        <v>89595.94</v>
      </c>
      <c r="X99" s="5">
        <v>8.7200000000000006</v>
      </c>
      <c r="Y99" s="5">
        <v>11091.47</v>
      </c>
      <c r="Z99" s="5">
        <v>10.61</v>
      </c>
    </row>
    <row r="100" spans="1:26" x14ac:dyDescent="0.2">
      <c r="A100">
        <v>2013</v>
      </c>
      <c r="B100">
        <v>3</v>
      </c>
      <c r="C100" t="str">
        <f t="shared" si="0"/>
        <v>03/2013</v>
      </c>
      <c r="D100">
        <v>169958.57</v>
      </c>
      <c r="E100">
        <v>14.14</v>
      </c>
      <c r="F100">
        <v>3437</v>
      </c>
      <c r="G100">
        <v>3.99</v>
      </c>
      <c r="J100" s="5">
        <v>74287.02</v>
      </c>
      <c r="K100" s="5">
        <v>5.64</v>
      </c>
      <c r="L100" s="5">
        <v>37033.279999999999</v>
      </c>
      <c r="M100" s="5">
        <v>4.8499999999999996</v>
      </c>
      <c r="P100" t="s">
        <v>142</v>
      </c>
      <c r="Q100">
        <v>169958.57</v>
      </c>
      <c r="R100">
        <v>14.14</v>
      </c>
      <c r="S100">
        <v>3437</v>
      </c>
      <c r="T100">
        <v>3.99</v>
      </c>
      <c r="W100" s="5">
        <v>74287.02</v>
      </c>
      <c r="X100" s="5">
        <v>5.64</v>
      </c>
      <c r="Y100" s="5">
        <v>37033.279999999999</v>
      </c>
      <c r="Z100" s="5">
        <v>4.8499999999999996</v>
      </c>
    </row>
    <row r="101" spans="1:26" x14ac:dyDescent="0.2">
      <c r="A101">
        <v>2013</v>
      </c>
      <c r="B101">
        <v>4</v>
      </c>
      <c r="C101" t="str">
        <f t="shared" si="0"/>
        <v>04/2013</v>
      </c>
      <c r="D101">
        <v>125154.07</v>
      </c>
      <c r="E101">
        <v>8.36</v>
      </c>
      <c r="F101">
        <v>2265176.5</v>
      </c>
      <c r="G101">
        <v>12.23</v>
      </c>
      <c r="J101" s="5">
        <v>310825.59000000003</v>
      </c>
      <c r="K101" s="5">
        <v>5.17</v>
      </c>
      <c r="L101" s="5">
        <v>60351.59</v>
      </c>
      <c r="M101" s="5">
        <v>5.94</v>
      </c>
      <c r="P101" t="s">
        <v>143</v>
      </c>
      <c r="Q101">
        <v>125154.07</v>
      </c>
      <c r="R101">
        <v>8.36</v>
      </c>
      <c r="S101">
        <v>2265176.5</v>
      </c>
      <c r="T101">
        <v>12.23</v>
      </c>
      <c r="W101" s="5">
        <v>310825.59000000003</v>
      </c>
      <c r="X101" s="5">
        <v>5.17</v>
      </c>
      <c r="Y101" s="5">
        <v>60351.59</v>
      </c>
      <c r="Z101" s="5">
        <v>5.94</v>
      </c>
    </row>
    <row r="102" spans="1:26" x14ac:dyDescent="0.2">
      <c r="A102">
        <v>2013</v>
      </c>
      <c r="B102">
        <v>5</v>
      </c>
      <c r="C102" t="str">
        <f t="shared" si="0"/>
        <v>05/2013</v>
      </c>
      <c r="D102">
        <v>1807014.58</v>
      </c>
      <c r="E102">
        <v>10.66</v>
      </c>
      <c r="F102">
        <v>9358.61</v>
      </c>
      <c r="G102">
        <v>5</v>
      </c>
      <c r="H102">
        <v>82942.213640000002</v>
      </c>
      <c r="I102">
        <v>4.2758805730000002</v>
      </c>
      <c r="J102" s="5">
        <v>130410.15</v>
      </c>
      <c r="K102" s="5">
        <v>4.75</v>
      </c>
      <c r="L102" s="5">
        <v>0</v>
      </c>
      <c r="M102" s="5">
        <v>0</v>
      </c>
      <c r="P102" t="s">
        <v>144</v>
      </c>
      <c r="Q102">
        <v>1807014.58</v>
      </c>
      <c r="R102">
        <v>10.66</v>
      </c>
      <c r="S102">
        <v>9358.61</v>
      </c>
      <c r="T102">
        <v>5</v>
      </c>
      <c r="U102">
        <v>82942.213640000002</v>
      </c>
      <c r="V102">
        <v>4.2758805730000002</v>
      </c>
      <c r="W102" s="5">
        <v>130410.15</v>
      </c>
      <c r="X102" s="5">
        <v>4.75</v>
      </c>
      <c r="Y102" s="5">
        <v>0</v>
      </c>
      <c r="Z102" s="5">
        <v>0</v>
      </c>
    </row>
    <row r="103" spans="1:26" x14ac:dyDescent="0.2">
      <c r="A103">
        <v>2013</v>
      </c>
      <c r="B103">
        <v>6</v>
      </c>
      <c r="C103" t="str">
        <f t="shared" si="0"/>
        <v>06/2013</v>
      </c>
      <c r="D103">
        <v>3298179.86</v>
      </c>
      <c r="E103">
        <v>11.29</v>
      </c>
      <c r="F103">
        <v>2225524.21</v>
      </c>
      <c r="G103">
        <v>13.19</v>
      </c>
      <c r="H103">
        <v>326303.60159999999</v>
      </c>
      <c r="I103">
        <v>5.23183928</v>
      </c>
      <c r="J103" s="5">
        <v>576643.77</v>
      </c>
      <c r="K103" s="5">
        <v>5.62</v>
      </c>
      <c r="L103" s="5">
        <v>473725.29</v>
      </c>
      <c r="M103" s="5">
        <v>6.32</v>
      </c>
      <c r="P103" t="s">
        <v>145</v>
      </c>
      <c r="Q103">
        <v>3298179.86</v>
      </c>
      <c r="R103">
        <v>11.29</v>
      </c>
      <c r="S103">
        <v>2225524.21</v>
      </c>
      <c r="T103">
        <v>13.19</v>
      </c>
      <c r="U103">
        <v>326303.60159999999</v>
      </c>
      <c r="V103">
        <v>5.23183928</v>
      </c>
      <c r="W103" s="5">
        <v>576643.77</v>
      </c>
      <c r="X103" s="5">
        <v>5.62</v>
      </c>
      <c r="Y103" s="5">
        <v>473725.29</v>
      </c>
      <c r="Z103" s="5">
        <v>6.32</v>
      </c>
    </row>
    <row r="104" spans="1:26" x14ac:dyDescent="0.2">
      <c r="A104">
        <v>2013</v>
      </c>
      <c r="B104">
        <v>7</v>
      </c>
      <c r="C104" t="str">
        <f t="shared" si="0"/>
        <v>07/2013</v>
      </c>
      <c r="D104">
        <v>1965240.16</v>
      </c>
      <c r="E104">
        <v>11.81</v>
      </c>
      <c r="F104">
        <v>738.55</v>
      </c>
      <c r="G104">
        <v>12.48</v>
      </c>
      <c r="H104">
        <v>13201.26456</v>
      </c>
      <c r="I104">
        <v>5.6343844680000004</v>
      </c>
      <c r="J104" s="5">
        <v>636371.44999999995</v>
      </c>
      <c r="K104" s="5">
        <v>7.29</v>
      </c>
      <c r="L104" s="5">
        <v>528620.43000000005</v>
      </c>
      <c r="M104" s="5">
        <v>6.55</v>
      </c>
      <c r="P104" t="s">
        <v>146</v>
      </c>
      <c r="Q104">
        <v>1965240.16</v>
      </c>
      <c r="R104">
        <v>11.81</v>
      </c>
      <c r="S104">
        <v>738.55</v>
      </c>
      <c r="T104">
        <v>12.48</v>
      </c>
      <c r="U104">
        <v>13201.26456</v>
      </c>
      <c r="V104">
        <v>5.6343844680000004</v>
      </c>
      <c r="W104" s="5">
        <v>636371.44999999995</v>
      </c>
      <c r="X104" s="5">
        <v>7.29</v>
      </c>
      <c r="Y104" s="5">
        <v>528620.43000000005</v>
      </c>
      <c r="Z104" s="5">
        <v>6.55</v>
      </c>
    </row>
    <row r="105" spans="1:26" x14ac:dyDescent="0.2">
      <c r="A105">
        <v>2013</v>
      </c>
      <c r="B105">
        <v>8</v>
      </c>
      <c r="C105" t="str">
        <f t="shared" si="0"/>
        <v>08/2013</v>
      </c>
      <c r="D105">
        <v>2413190.2799999998</v>
      </c>
      <c r="E105">
        <v>11.05</v>
      </c>
      <c r="F105">
        <v>1634664</v>
      </c>
      <c r="G105">
        <v>12.32</v>
      </c>
      <c r="H105">
        <v>154140.41649999999</v>
      </c>
      <c r="I105">
        <v>3.708125441</v>
      </c>
      <c r="J105" s="5">
        <v>235015.17</v>
      </c>
      <c r="K105" s="5">
        <v>7.35</v>
      </c>
      <c r="L105" s="5">
        <v>501175.06</v>
      </c>
      <c r="M105" s="5">
        <v>6.47</v>
      </c>
      <c r="P105" t="s">
        <v>147</v>
      </c>
      <c r="Q105">
        <v>2413190.2799999998</v>
      </c>
      <c r="R105">
        <v>11.05</v>
      </c>
      <c r="S105">
        <v>1634664</v>
      </c>
      <c r="T105">
        <v>12.32</v>
      </c>
      <c r="U105">
        <v>154140.41649999999</v>
      </c>
      <c r="V105">
        <v>3.708125441</v>
      </c>
      <c r="W105" s="5">
        <v>235015.17</v>
      </c>
      <c r="X105" s="5">
        <v>7.35</v>
      </c>
      <c r="Y105" s="5">
        <v>501175.06</v>
      </c>
      <c r="Z105" s="5">
        <v>6.47</v>
      </c>
    </row>
    <row r="106" spans="1:26" x14ac:dyDescent="0.2">
      <c r="A106">
        <v>2013</v>
      </c>
      <c r="B106">
        <v>9</v>
      </c>
      <c r="C106" t="str">
        <f t="shared" si="0"/>
        <v>09/2013</v>
      </c>
      <c r="D106">
        <v>1976223.57</v>
      </c>
      <c r="E106">
        <v>10.8</v>
      </c>
      <c r="F106">
        <v>1145743.22</v>
      </c>
      <c r="G106">
        <v>12.79</v>
      </c>
      <c r="H106">
        <v>95806.171340000001</v>
      </c>
      <c r="I106">
        <v>4.8827439139999997</v>
      </c>
      <c r="J106" s="5">
        <v>312626.77</v>
      </c>
      <c r="K106" s="5">
        <v>7.18</v>
      </c>
      <c r="L106" s="5">
        <v>257383.29</v>
      </c>
      <c r="M106" s="5">
        <v>6.24</v>
      </c>
      <c r="P106" t="s">
        <v>148</v>
      </c>
      <c r="Q106">
        <v>1976223.57</v>
      </c>
      <c r="R106">
        <v>10.8</v>
      </c>
      <c r="S106">
        <v>1145743.22</v>
      </c>
      <c r="T106">
        <v>12.79</v>
      </c>
      <c r="U106">
        <v>95806.171340000001</v>
      </c>
      <c r="V106">
        <v>4.8827439139999997</v>
      </c>
      <c r="W106" s="5">
        <v>312626.77</v>
      </c>
      <c r="X106" s="5">
        <v>7.18</v>
      </c>
      <c r="Y106" s="5">
        <v>257383.29</v>
      </c>
      <c r="Z106" s="5">
        <v>6.24</v>
      </c>
    </row>
    <row r="107" spans="1:26" x14ac:dyDescent="0.2">
      <c r="A107">
        <v>2013</v>
      </c>
      <c r="B107">
        <v>10</v>
      </c>
      <c r="C107" t="str">
        <f t="shared" si="0"/>
        <v>10/2013</v>
      </c>
      <c r="D107">
        <v>2141428.98</v>
      </c>
      <c r="E107">
        <v>10.95</v>
      </c>
      <c r="F107">
        <v>14050.04</v>
      </c>
      <c r="G107">
        <v>5.86</v>
      </c>
      <c r="H107">
        <v>100435.87330000001</v>
      </c>
      <c r="I107">
        <v>4.7265283230000001</v>
      </c>
      <c r="J107" s="5">
        <v>396790.51</v>
      </c>
      <c r="K107" s="5">
        <v>7.51</v>
      </c>
      <c r="L107" s="5">
        <v>397398.98</v>
      </c>
      <c r="M107" s="5">
        <v>6.99</v>
      </c>
      <c r="P107" t="s">
        <v>149</v>
      </c>
      <c r="Q107">
        <v>2141428.98</v>
      </c>
      <c r="R107">
        <v>10.95</v>
      </c>
      <c r="S107">
        <v>14050.04</v>
      </c>
      <c r="T107">
        <v>5.86</v>
      </c>
      <c r="U107">
        <v>100435.87330000001</v>
      </c>
      <c r="V107">
        <v>4.7265283230000001</v>
      </c>
      <c r="W107" s="5">
        <v>396790.51</v>
      </c>
      <c r="X107" s="5">
        <v>7.51</v>
      </c>
      <c r="Y107" s="5">
        <v>397398.98</v>
      </c>
      <c r="Z107" s="5">
        <v>6.99</v>
      </c>
    </row>
    <row r="108" spans="1:26" x14ac:dyDescent="0.2">
      <c r="A108">
        <v>2013</v>
      </c>
      <c r="B108">
        <v>11</v>
      </c>
      <c r="C108" t="str">
        <f t="shared" si="0"/>
        <v>11/2013</v>
      </c>
      <c r="D108">
        <v>1336930.07</v>
      </c>
      <c r="E108">
        <v>11.05</v>
      </c>
      <c r="F108">
        <v>9012.49</v>
      </c>
      <c r="G108">
        <v>10.85</v>
      </c>
      <c r="H108">
        <v>56420.635040000001</v>
      </c>
      <c r="I108">
        <v>3.5565179269999998</v>
      </c>
      <c r="J108" s="5">
        <v>400582.46</v>
      </c>
      <c r="K108" s="5">
        <v>6.4</v>
      </c>
      <c r="L108" s="5">
        <v>353846.63</v>
      </c>
      <c r="M108" s="5">
        <v>6.75</v>
      </c>
      <c r="P108" t="s">
        <v>150</v>
      </c>
      <c r="Q108">
        <v>1336930.07</v>
      </c>
      <c r="R108">
        <v>11.05</v>
      </c>
      <c r="S108">
        <v>9012.49</v>
      </c>
      <c r="T108">
        <v>10.85</v>
      </c>
      <c r="U108">
        <v>56420.635040000001</v>
      </c>
      <c r="V108">
        <v>3.5565179269999998</v>
      </c>
      <c r="W108" s="5">
        <v>400582.46</v>
      </c>
      <c r="X108" s="5">
        <v>6.4</v>
      </c>
      <c r="Y108" s="5">
        <v>353846.63</v>
      </c>
      <c r="Z108" s="5">
        <v>6.75</v>
      </c>
    </row>
    <row r="109" spans="1:26" x14ac:dyDescent="0.2">
      <c r="A109">
        <v>2013</v>
      </c>
      <c r="B109">
        <v>12</v>
      </c>
      <c r="C109" t="str">
        <f t="shared" si="0"/>
        <v>12/2013</v>
      </c>
      <c r="D109">
        <v>1653923.56</v>
      </c>
      <c r="E109">
        <v>10.4</v>
      </c>
      <c r="F109">
        <v>328704.43</v>
      </c>
      <c r="G109">
        <v>11.54</v>
      </c>
      <c r="H109">
        <v>120339.1827</v>
      </c>
      <c r="I109">
        <v>3.5163858559999999</v>
      </c>
      <c r="J109" s="5">
        <v>208059.23</v>
      </c>
      <c r="K109" s="5">
        <v>7.24</v>
      </c>
      <c r="L109" s="5">
        <v>105180.43</v>
      </c>
      <c r="M109" s="5">
        <v>6.21</v>
      </c>
      <c r="P109" t="s">
        <v>151</v>
      </c>
      <c r="Q109">
        <v>1653923.56</v>
      </c>
      <c r="R109">
        <v>10.4</v>
      </c>
      <c r="S109">
        <v>328704.43</v>
      </c>
      <c r="T109">
        <v>11.54</v>
      </c>
      <c r="U109">
        <v>120339.1827</v>
      </c>
      <c r="V109">
        <v>3.5163858559999999</v>
      </c>
      <c r="W109" s="5">
        <v>208059.23</v>
      </c>
      <c r="X109" s="5">
        <v>7.24</v>
      </c>
      <c r="Y109" s="5">
        <v>105180.43</v>
      </c>
      <c r="Z109" s="5">
        <v>6.21</v>
      </c>
    </row>
    <row r="110" spans="1:26" x14ac:dyDescent="0.2">
      <c r="A110">
        <v>2014</v>
      </c>
      <c r="B110">
        <v>1</v>
      </c>
      <c r="C110" t="str">
        <f t="shared" si="0"/>
        <v>01/2014</v>
      </c>
      <c r="D110">
        <v>714528.37</v>
      </c>
      <c r="E110">
        <v>10.44</v>
      </c>
      <c r="F110">
        <v>4210.82</v>
      </c>
      <c r="G110">
        <v>5.18</v>
      </c>
      <c r="J110" s="5">
        <v>130055.2</v>
      </c>
      <c r="K110" s="5">
        <v>7.62</v>
      </c>
      <c r="L110" s="5">
        <v>6946.77</v>
      </c>
      <c r="M110" s="5">
        <v>6.02</v>
      </c>
      <c r="P110" t="s">
        <v>152</v>
      </c>
      <c r="Q110">
        <v>714528.37</v>
      </c>
      <c r="R110">
        <v>10.44</v>
      </c>
      <c r="S110">
        <v>4210.82</v>
      </c>
      <c r="T110">
        <v>5.18</v>
      </c>
      <c r="W110" s="5">
        <v>130055.2</v>
      </c>
      <c r="X110" s="5">
        <v>7.62</v>
      </c>
      <c r="Y110" s="5">
        <v>6946.77</v>
      </c>
      <c r="Z110" s="5">
        <v>6.02</v>
      </c>
    </row>
    <row r="111" spans="1:26" x14ac:dyDescent="0.2">
      <c r="A111">
        <v>2014</v>
      </c>
      <c r="B111">
        <v>2</v>
      </c>
      <c r="C111" t="str">
        <f t="shared" si="0"/>
        <v>02/2014</v>
      </c>
      <c r="D111">
        <v>113445.34</v>
      </c>
      <c r="E111">
        <v>14.11</v>
      </c>
      <c r="F111">
        <v>357529.84</v>
      </c>
      <c r="G111">
        <v>12.81</v>
      </c>
      <c r="J111" s="5">
        <v>64322.12</v>
      </c>
      <c r="K111" s="5">
        <v>12.34</v>
      </c>
      <c r="L111" s="5">
        <v>29266.39</v>
      </c>
      <c r="M111" s="5">
        <v>6.07</v>
      </c>
      <c r="P111" t="s">
        <v>153</v>
      </c>
      <c r="Q111">
        <v>113445.34</v>
      </c>
      <c r="R111">
        <v>14.11</v>
      </c>
      <c r="S111">
        <v>357529.84</v>
      </c>
      <c r="T111">
        <v>12.81</v>
      </c>
      <c r="W111" s="5">
        <v>64322.12</v>
      </c>
      <c r="X111" s="5">
        <v>12.34</v>
      </c>
      <c r="Y111" s="5">
        <v>29266.39</v>
      </c>
      <c r="Z111" s="5">
        <v>6.07</v>
      </c>
    </row>
    <row r="112" spans="1:26" x14ac:dyDescent="0.2">
      <c r="A112">
        <v>2014</v>
      </c>
      <c r="B112">
        <v>3</v>
      </c>
      <c r="C112" t="str">
        <f t="shared" si="0"/>
        <v>03/2014</v>
      </c>
      <c r="D112">
        <v>137832.84</v>
      </c>
      <c r="E112">
        <v>13.63</v>
      </c>
      <c r="F112">
        <v>352785.5</v>
      </c>
      <c r="G112">
        <v>12.92</v>
      </c>
      <c r="H112">
        <v>25150.304960000001</v>
      </c>
      <c r="I112">
        <v>9.4808790740000006</v>
      </c>
      <c r="J112" s="5">
        <v>120066.05</v>
      </c>
      <c r="K112" s="5">
        <v>8.34</v>
      </c>
      <c r="L112" s="5">
        <v>33073.78</v>
      </c>
      <c r="M112" s="5">
        <v>4.93</v>
      </c>
      <c r="P112" t="s">
        <v>154</v>
      </c>
      <c r="Q112">
        <v>137832.84</v>
      </c>
      <c r="R112">
        <v>13.63</v>
      </c>
      <c r="S112">
        <v>352785.5</v>
      </c>
      <c r="T112">
        <v>12.92</v>
      </c>
      <c r="U112">
        <v>25150.304960000001</v>
      </c>
      <c r="V112">
        <v>9.4808790740000006</v>
      </c>
      <c r="W112" s="5">
        <v>120066.05</v>
      </c>
      <c r="X112" s="5">
        <v>8.34</v>
      </c>
      <c r="Y112" s="5">
        <v>33073.78</v>
      </c>
      <c r="Z112" s="5">
        <v>4.93</v>
      </c>
    </row>
    <row r="113" spans="1:26" x14ac:dyDescent="0.2">
      <c r="A113">
        <v>2014</v>
      </c>
      <c r="B113">
        <v>4</v>
      </c>
      <c r="C113" t="str">
        <f t="shared" si="0"/>
        <v>04/2014</v>
      </c>
      <c r="D113">
        <v>104062.47</v>
      </c>
      <c r="E113">
        <v>13.19</v>
      </c>
      <c r="F113">
        <v>4223031.18</v>
      </c>
      <c r="G113">
        <v>10.95</v>
      </c>
      <c r="H113">
        <v>39220.1898</v>
      </c>
      <c r="I113">
        <v>2.2906314440000002</v>
      </c>
      <c r="J113" s="5">
        <v>43005.61</v>
      </c>
      <c r="K113" s="5">
        <v>3.99</v>
      </c>
      <c r="L113" s="5">
        <v>47855.78</v>
      </c>
      <c r="M113" s="5">
        <v>5.84</v>
      </c>
      <c r="P113" t="s">
        <v>155</v>
      </c>
      <c r="Q113">
        <v>104062.47</v>
      </c>
      <c r="R113">
        <v>13.19</v>
      </c>
      <c r="S113">
        <v>4223031.18</v>
      </c>
      <c r="T113">
        <v>10.95</v>
      </c>
      <c r="U113">
        <v>39220.1898</v>
      </c>
      <c r="V113">
        <v>2.2906314440000002</v>
      </c>
      <c r="W113" s="5">
        <v>43005.61</v>
      </c>
      <c r="X113" s="5">
        <v>3.99</v>
      </c>
      <c r="Y113" s="5">
        <v>47855.78</v>
      </c>
      <c r="Z113" s="5">
        <v>5.84</v>
      </c>
    </row>
    <row r="114" spans="1:26" x14ac:dyDescent="0.2">
      <c r="A114">
        <v>2014</v>
      </c>
      <c r="B114">
        <v>5</v>
      </c>
      <c r="C114" t="str">
        <f t="shared" si="0"/>
        <v>05/2014</v>
      </c>
      <c r="D114">
        <v>1017125.69</v>
      </c>
      <c r="E114">
        <v>11.05</v>
      </c>
      <c r="F114">
        <v>171054.26</v>
      </c>
      <c r="G114">
        <v>11.37</v>
      </c>
      <c r="H114">
        <v>2755.7750000000001</v>
      </c>
      <c r="I114">
        <v>12.99960991</v>
      </c>
      <c r="J114" s="5">
        <v>127473.59</v>
      </c>
      <c r="K114" s="5">
        <v>6.98</v>
      </c>
      <c r="L114" s="5">
        <v>22059.47</v>
      </c>
      <c r="M114" s="5">
        <v>6.98</v>
      </c>
      <c r="P114" t="s">
        <v>156</v>
      </c>
      <c r="Q114">
        <v>1017125.69</v>
      </c>
      <c r="R114">
        <v>11.05</v>
      </c>
      <c r="S114">
        <v>171054.26</v>
      </c>
      <c r="T114">
        <v>11.37</v>
      </c>
      <c r="U114">
        <v>2755.7750000000001</v>
      </c>
      <c r="V114">
        <v>12.99960991</v>
      </c>
      <c r="W114" s="5">
        <v>127473.59</v>
      </c>
      <c r="X114" s="5">
        <v>6.98</v>
      </c>
      <c r="Y114" s="5">
        <v>22059.47</v>
      </c>
      <c r="Z114" s="5">
        <v>6.98</v>
      </c>
    </row>
    <row r="115" spans="1:26" x14ac:dyDescent="0.2">
      <c r="A115">
        <v>2014</v>
      </c>
      <c r="B115">
        <v>6</v>
      </c>
      <c r="C115" t="str">
        <f t="shared" si="0"/>
        <v>06/2014</v>
      </c>
      <c r="D115">
        <v>3369184.06</v>
      </c>
      <c r="E115">
        <v>11.93</v>
      </c>
      <c r="F115">
        <v>178186.21</v>
      </c>
      <c r="G115">
        <v>12.97</v>
      </c>
      <c r="H115">
        <v>44434.116099999999</v>
      </c>
      <c r="I115">
        <v>3.140402291</v>
      </c>
      <c r="J115" s="5">
        <v>750403.45</v>
      </c>
      <c r="K115" s="5">
        <v>5.16</v>
      </c>
      <c r="L115" s="5">
        <v>576474.01</v>
      </c>
      <c r="M115" s="5">
        <v>5.95</v>
      </c>
      <c r="P115" t="s">
        <v>157</v>
      </c>
      <c r="Q115">
        <v>3369184.06</v>
      </c>
      <c r="R115">
        <v>11.93</v>
      </c>
      <c r="S115">
        <v>178186.21</v>
      </c>
      <c r="T115">
        <v>12.97</v>
      </c>
      <c r="U115">
        <v>44434.116099999999</v>
      </c>
      <c r="V115">
        <v>3.140402291</v>
      </c>
      <c r="W115" s="5">
        <v>750403.45</v>
      </c>
      <c r="X115" s="5">
        <v>5.16</v>
      </c>
      <c r="Y115" s="5">
        <v>576474.01</v>
      </c>
      <c r="Z115" s="5">
        <v>5.95</v>
      </c>
    </row>
    <row r="116" spans="1:26" x14ac:dyDescent="0.2">
      <c r="A116">
        <v>2014</v>
      </c>
      <c r="B116">
        <v>7</v>
      </c>
      <c r="C116" t="str">
        <f t="shared" si="0"/>
        <v>07/2014</v>
      </c>
      <c r="D116">
        <v>2186949.9700000002</v>
      </c>
      <c r="E116">
        <v>12.04</v>
      </c>
      <c r="F116">
        <v>3493171.89</v>
      </c>
      <c r="G116">
        <v>12.08</v>
      </c>
      <c r="H116">
        <v>515947.21860000002</v>
      </c>
      <c r="I116">
        <v>5.0846945300000002</v>
      </c>
      <c r="J116" s="5">
        <v>837080.46</v>
      </c>
      <c r="K116" s="5">
        <v>5.08</v>
      </c>
      <c r="L116" s="5">
        <v>710111.73</v>
      </c>
      <c r="M116" s="5">
        <v>6.52</v>
      </c>
      <c r="P116" t="s">
        <v>158</v>
      </c>
      <c r="Q116">
        <v>2186949.9700000002</v>
      </c>
      <c r="R116">
        <v>12.04</v>
      </c>
      <c r="S116">
        <v>3493171.89</v>
      </c>
      <c r="T116">
        <v>12.08</v>
      </c>
      <c r="U116">
        <v>515947.21860000002</v>
      </c>
      <c r="V116">
        <v>5.0846945300000002</v>
      </c>
      <c r="W116" s="5">
        <v>837080.46</v>
      </c>
      <c r="X116" s="5">
        <v>5.08</v>
      </c>
      <c r="Y116" s="5">
        <v>710111.73</v>
      </c>
      <c r="Z116" s="5">
        <v>6.52</v>
      </c>
    </row>
    <row r="117" spans="1:26" x14ac:dyDescent="0.2">
      <c r="A117">
        <v>2014</v>
      </c>
      <c r="B117">
        <v>8</v>
      </c>
      <c r="C117" t="str">
        <f t="shared" si="0"/>
        <v>08/2014</v>
      </c>
      <c r="D117">
        <v>1698154.85</v>
      </c>
      <c r="E117">
        <v>12.22</v>
      </c>
      <c r="F117">
        <v>75550.12</v>
      </c>
      <c r="G117">
        <v>9.18</v>
      </c>
      <c r="H117">
        <v>426825.45510000002</v>
      </c>
      <c r="I117">
        <v>4.636670509</v>
      </c>
      <c r="J117" s="5">
        <v>1118428.01</v>
      </c>
      <c r="K117" s="5">
        <v>4.12</v>
      </c>
      <c r="L117" s="5">
        <v>365495.86</v>
      </c>
      <c r="M117" s="5">
        <v>6.45</v>
      </c>
      <c r="P117" t="s">
        <v>159</v>
      </c>
      <c r="Q117">
        <v>1698154.85</v>
      </c>
      <c r="R117">
        <v>12.22</v>
      </c>
      <c r="S117">
        <v>75550.12</v>
      </c>
      <c r="T117">
        <v>9.18</v>
      </c>
      <c r="U117">
        <v>426825.45510000002</v>
      </c>
      <c r="V117">
        <v>4.636670509</v>
      </c>
      <c r="W117" s="5">
        <v>1118428.01</v>
      </c>
      <c r="X117" s="5">
        <v>4.12</v>
      </c>
      <c r="Y117" s="5">
        <v>365495.86</v>
      </c>
      <c r="Z117" s="5">
        <v>6.45</v>
      </c>
    </row>
    <row r="118" spans="1:26" x14ac:dyDescent="0.2">
      <c r="A118">
        <v>2014</v>
      </c>
      <c r="B118">
        <v>9</v>
      </c>
      <c r="C118" t="str">
        <f t="shared" si="0"/>
        <v>09/2014</v>
      </c>
      <c r="D118">
        <v>2399548.09</v>
      </c>
      <c r="E118">
        <v>12.61</v>
      </c>
      <c r="F118">
        <v>2300468.06</v>
      </c>
      <c r="G118">
        <v>13.06</v>
      </c>
      <c r="H118">
        <v>254014.11180000001</v>
      </c>
      <c r="I118">
        <v>4.0737657949999999</v>
      </c>
      <c r="J118" s="5">
        <v>666261.75</v>
      </c>
      <c r="K118" s="5">
        <v>6.28</v>
      </c>
      <c r="L118" s="5">
        <v>507101.1</v>
      </c>
      <c r="M118" s="5">
        <v>6.6</v>
      </c>
      <c r="P118" t="s">
        <v>160</v>
      </c>
      <c r="Q118">
        <v>2399548.09</v>
      </c>
      <c r="R118">
        <v>12.61</v>
      </c>
      <c r="S118">
        <v>2300468.06</v>
      </c>
      <c r="T118">
        <v>13.06</v>
      </c>
      <c r="U118">
        <v>254014.11180000001</v>
      </c>
      <c r="V118">
        <v>4.0737657949999999</v>
      </c>
      <c r="W118" s="5">
        <v>666261.75</v>
      </c>
      <c r="X118" s="5">
        <v>6.28</v>
      </c>
      <c r="Y118" s="5">
        <v>507101.1</v>
      </c>
      <c r="Z118" s="5">
        <v>6.6</v>
      </c>
    </row>
    <row r="119" spans="1:26" x14ac:dyDescent="0.2">
      <c r="A119">
        <v>2014</v>
      </c>
      <c r="B119">
        <v>10</v>
      </c>
      <c r="C119" t="str">
        <f t="shared" si="0"/>
        <v>10/2014</v>
      </c>
      <c r="D119">
        <v>2578585.2799999998</v>
      </c>
      <c r="E119">
        <v>12.25</v>
      </c>
      <c r="F119">
        <v>3091631.22</v>
      </c>
      <c r="G119">
        <v>12.82</v>
      </c>
      <c r="H119">
        <v>159010.4221</v>
      </c>
      <c r="I119">
        <v>4.8009746140000003</v>
      </c>
      <c r="J119" s="5">
        <v>981534.07</v>
      </c>
      <c r="K119" s="5">
        <v>5.73</v>
      </c>
      <c r="L119" s="5">
        <v>475422.85</v>
      </c>
      <c r="M119" s="5">
        <v>6.64</v>
      </c>
      <c r="P119" t="s">
        <v>161</v>
      </c>
      <c r="Q119">
        <v>2578585.2799999998</v>
      </c>
      <c r="R119">
        <v>12.25</v>
      </c>
      <c r="S119">
        <v>3091631.22</v>
      </c>
      <c r="T119">
        <v>12.82</v>
      </c>
      <c r="U119">
        <v>159010.4221</v>
      </c>
      <c r="V119">
        <v>4.8009746140000003</v>
      </c>
      <c r="W119" s="5">
        <v>981534.07</v>
      </c>
      <c r="X119" s="5">
        <v>5.73</v>
      </c>
      <c r="Y119" s="5">
        <v>475422.85</v>
      </c>
      <c r="Z119" s="5">
        <v>6.64</v>
      </c>
    </row>
    <row r="120" spans="1:26" x14ac:dyDescent="0.2">
      <c r="A120">
        <v>2014</v>
      </c>
      <c r="B120">
        <v>11</v>
      </c>
      <c r="C120" t="str">
        <f t="shared" si="0"/>
        <v>11/2014</v>
      </c>
      <c r="D120">
        <v>1650640.88</v>
      </c>
      <c r="E120">
        <v>12.79</v>
      </c>
      <c r="F120">
        <v>54989.84</v>
      </c>
      <c r="G120">
        <v>14.57</v>
      </c>
      <c r="H120">
        <v>31415.834999999999</v>
      </c>
      <c r="I120">
        <v>3.9798082720000001</v>
      </c>
      <c r="J120" s="5">
        <v>566026.30000000005</v>
      </c>
      <c r="K120" s="5">
        <v>6.65</v>
      </c>
      <c r="L120" s="5">
        <v>348200.59</v>
      </c>
      <c r="M120" s="5">
        <v>6.61</v>
      </c>
      <c r="P120" t="s">
        <v>162</v>
      </c>
      <c r="Q120">
        <v>1650640.88</v>
      </c>
      <c r="R120">
        <v>12.79</v>
      </c>
      <c r="S120">
        <v>54989.84</v>
      </c>
      <c r="T120">
        <v>14.57</v>
      </c>
      <c r="U120">
        <v>31415.834999999999</v>
      </c>
      <c r="V120">
        <v>3.9798082720000001</v>
      </c>
      <c r="W120" s="5">
        <v>566026.30000000005</v>
      </c>
      <c r="X120" s="5">
        <v>6.65</v>
      </c>
      <c r="Y120" s="5">
        <v>348200.59</v>
      </c>
      <c r="Z120" s="5">
        <v>6.61</v>
      </c>
    </row>
    <row r="121" spans="1:26" x14ac:dyDescent="0.2">
      <c r="A121">
        <v>2014</v>
      </c>
      <c r="B121">
        <v>12</v>
      </c>
      <c r="C121" t="str">
        <f t="shared" si="0"/>
        <v>12/2014</v>
      </c>
      <c r="D121">
        <v>2215565.94</v>
      </c>
      <c r="E121">
        <v>12.09</v>
      </c>
      <c r="F121">
        <v>2509708.54</v>
      </c>
      <c r="G121">
        <v>12.88</v>
      </c>
      <c r="H121">
        <v>39658.909180000002</v>
      </c>
      <c r="I121">
        <v>6.071372233</v>
      </c>
      <c r="J121" s="5">
        <v>312430.55</v>
      </c>
      <c r="K121" s="5">
        <v>7.37</v>
      </c>
      <c r="L121" s="5">
        <v>67163.88</v>
      </c>
      <c r="M121" s="5">
        <v>7.16</v>
      </c>
      <c r="P121" t="s">
        <v>163</v>
      </c>
      <c r="Q121">
        <v>2215565.94</v>
      </c>
      <c r="R121">
        <v>12.09</v>
      </c>
      <c r="S121">
        <v>2509708.54</v>
      </c>
      <c r="T121">
        <v>12.88</v>
      </c>
      <c r="U121">
        <v>39658.909180000002</v>
      </c>
      <c r="V121">
        <v>6.071372233</v>
      </c>
      <c r="W121" s="5">
        <v>312430.55</v>
      </c>
      <c r="X121" s="5">
        <v>7.37</v>
      </c>
      <c r="Y121" s="5">
        <v>67163.88</v>
      </c>
      <c r="Z121" s="5">
        <v>7.16</v>
      </c>
    </row>
    <row r="122" spans="1:26" x14ac:dyDescent="0.2">
      <c r="A122">
        <v>2015</v>
      </c>
      <c r="B122">
        <v>1</v>
      </c>
      <c r="C122" t="str">
        <f t="shared" si="0"/>
        <v>01/2015</v>
      </c>
      <c r="D122">
        <v>1164934.44</v>
      </c>
      <c r="E122">
        <v>11.24</v>
      </c>
      <c r="F122">
        <v>49859.69</v>
      </c>
      <c r="G122">
        <v>14.77</v>
      </c>
      <c r="H122">
        <v>9645.2124999999996</v>
      </c>
      <c r="I122">
        <v>13.015576380000001</v>
      </c>
      <c r="J122" s="5">
        <v>192640.08</v>
      </c>
      <c r="K122" s="5">
        <v>6.78</v>
      </c>
      <c r="L122" s="5">
        <v>51729.31</v>
      </c>
      <c r="M122" s="5">
        <v>10.63</v>
      </c>
      <c r="P122" t="s">
        <v>164</v>
      </c>
      <c r="Q122">
        <v>1164934.44</v>
      </c>
      <c r="R122">
        <v>11.24</v>
      </c>
      <c r="S122">
        <v>49859.69</v>
      </c>
      <c r="T122">
        <v>14.77</v>
      </c>
      <c r="U122">
        <v>9645.2124999999996</v>
      </c>
      <c r="V122">
        <v>13.015576380000001</v>
      </c>
      <c r="W122" s="5">
        <v>192640.08</v>
      </c>
      <c r="X122" s="5">
        <v>6.78</v>
      </c>
      <c r="Y122" s="5">
        <v>51729.31</v>
      </c>
      <c r="Z122" s="5">
        <v>10.63</v>
      </c>
    </row>
    <row r="123" spans="1:26" x14ac:dyDescent="0.2">
      <c r="A123">
        <v>2015</v>
      </c>
      <c r="B123">
        <v>2</v>
      </c>
      <c r="C123" t="str">
        <f t="shared" si="0"/>
        <v>02/2015</v>
      </c>
      <c r="D123">
        <v>347858.17</v>
      </c>
      <c r="E123">
        <v>11.68</v>
      </c>
      <c r="F123">
        <v>67386.41</v>
      </c>
      <c r="G123">
        <v>15.52</v>
      </c>
      <c r="H123">
        <v>485.01639999999998</v>
      </c>
      <c r="I123">
        <v>5.8224835280000002</v>
      </c>
      <c r="J123" s="5">
        <v>117184.61</v>
      </c>
      <c r="K123" s="5">
        <v>5.62</v>
      </c>
      <c r="L123" s="5">
        <v>15117.11</v>
      </c>
      <c r="M123" s="5">
        <v>5.89</v>
      </c>
      <c r="P123" t="s">
        <v>165</v>
      </c>
      <c r="Q123">
        <v>347858.17</v>
      </c>
      <c r="R123">
        <v>11.68</v>
      </c>
      <c r="S123">
        <v>67386.41</v>
      </c>
      <c r="T123">
        <v>15.52</v>
      </c>
      <c r="U123">
        <v>485.01639999999998</v>
      </c>
      <c r="V123">
        <v>5.8224835280000002</v>
      </c>
      <c r="W123" s="5">
        <v>117184.61</v>
      </c>
      <c r="X123" s="5">
        <v>5.62</v>
      </c>
      <c r="Y123" s="5">
        <v>15117.11</v>
      </c>
      <c r="Z123" s="5">
        <v>5.89</v>
      </c>
    </row>
    <row r="124" spans="1:26" x14ac:dyDescent="0.2">
      <c r="A124">
        <v>2015</v>
      </c>
      <c r="B124">
        <v>3</v>
      </c>
      <c r="C124" t="str">
        <f t="shared" si="0"/>
        <v>03/2015</v>
      </c>
      <c r="D124">
        <v>191321.33</v>
      </c>
      <c r="E124">
        <v>13.09</v>
      </c>
      <c r="F124">
        <v>3160186.08</v>
      </c>
      <c r="G124">
        <v>13.61</v>
      </c>
      <c r="H124">
        <v>5765.0812999999998</v>
      </c>
      <c r="I124">
        <v>9.7714146720000006</v>
      </c>
      <c r="J124" s="5">
        <v>96725.69</v>
      </c>
      <c r="K124" s="5">
        <v>6.69</v>
      </c>
      <c r="L124" s="5">
        <v>62655.43</v>
      </c>
      <c r="M124" s="5">
        <v>5.55</v>
      </c>
      <c r="P124" t="s">
        <v>166</v>
      </c>
      <c r="Q124">
        <v>191321.33</v>
      </c>
      <c r="R124">
        <v>13.09</v>
      </c>
      <c r="S124">
        <v>3160186.08</v>
      </c>
      <c r="T124">
        <v>13.61</v>
      </c>
      <c r="U124">
        <v>5765.0812999999998</v>
      </c>
      <c r="V124">
        <v>9.7714146720000006</v>
      </c>
      <c r="W124" s="5">
        <v>96725.69</v>
      </c>
      <c r="X124" s="5">
        <v>6.69</v>
      </c>
      <c r="Y124" s="5">
        <v>62655.43</v>
      </c>
      <c r="Z124" s="5">
        <v>5.55</v>
      </c>
    </row>
    <row r="125" spans="1:26" x14ac:dyDescent="0.2">
      <c r="A125">
        <v>2015</v>
      </c>
      <c r="B125">
        <v>4</v>
      </c>
      <c r="C125" t="str">
        <f t="shared" si="0"/>
        <v>04/2015</v>
      </c>
      <c r="D125">
        <v>214610.94</v>
      </c>
      <c r="E125">
        <v>10.31</v>
      </c>
      <c r="F125">
        <v>47681.52</v>
      </c>
      <c r="G125">
        <v>15.51</v>
      </c>
      <c r="H125">
        <v>39760.3217</v>
      </c>
      <c r="I125">
        <v>6.0198205089999997</v>
      </c>
      <c r="J125" s="5">
        <v>107451.19</v>
      </c>
      <c r="K125" s="5">
        <v>5.4</v>
      </c>
      <c r="L125" s="5">
        <v>35243.129999999997</v>
      </c>
      <c r="M125" s="5">
        <v>6.57</v>
      </c>
      <c r="P125" t="s">
        <v>167</v>
      </c>
      <c r="Q125">
        <v>214610.94</v>
      </c>
      <c r="R125">
        <v>10.31</v>
      </c>
      <c r="S125">
        <v>47681.52</v>
      </c>
      <c r="T125">
        <v>15.51</v>
      </c>
      <c r="U125">
        <v>39760.3217</v>
      </c>
      <c r="V125">
        <v>6.0198205089999997</v>
      </c>
      <c r="W125" s="5">
        <v>107451.19</v>
      </c>
      <c r="X125" s="5">
        <v>5.4</v>
      </c>
      <c r="Y125" s="5">
        <v>35243.129999999997</v>
      </c>
      <c r="Z125" s="5">
        <v>6.57</v>
      </c>
    </row>
    <row r="126" spans="1:26" x14ac:dyDescent="0.2">
      <c r="A126">
        <v>2015</v>
      </c>
      <c r="B126">
        <v>5</v>
      </c>
      <c r="C126" t="str">
        <f t="shared" si="0"/>
        <v>05/2015</v>
      </c>
      <c r="D126">
        <v>219544.88</v>
      </c>
      <c r="E126">
        <v>10.97</v>
      </c>
      <c r="F126">
        <v>2163124.64</v>
      </c>
      <c r="G126">
        <v>14.14</v>
      </c>
      <c r="J126" s="5">
        <v>167811.6</v>
      </c>
      <c r="K126" s="5">
        <v>4.67</v>
      </c>
      <c r="L126" s="5">
        <v>0</v>
      </c>
      <c r="M126" s="5">
        <v>0</v>
      </c>
      <c r="P126" t="s">
        <v>168</v>
      </c>
      <c r="Q126">
        <v>219544.88</v>
      </c>
      <c r="R126">
        <v>10.97</v>
      </c>
      <c r="S126">
        <v>2163124.64</v>
      </c>
      <c r="T126">
        <v>14.14</v>
      </c>
      <c r="W126" s="5">
        <v>167811.6</v>
      </c>
      <c r="X126" s="5">
        <v>4.67</v>
      </c>
      <c r="Y126" s="5">
        <v>0</v>
      </c>
      <c r="Z126" s="5">
        <v>0</v>
      </c>
    </row>
    <row r="127" spans="1:26" x14ac:dyDescent="0.2">
      <c r="A127">
        <v>2015</v>
      </c>
      <c r="B127">
        <v>6</v>
      </c>
      <c r="C127" t="str">
        <f t="shared" si="0"/>
        <v>06/2015</v>
      </c>
      <c r="D127">
        <v>3739833.59</v>
      </c>
      <c r="E127">
        <v>12.81</v>
      </c>
      <c r="F127">
        <v>3145600.32</v>
      </c>
      <c r="G127">
        <v>13.94</v>
      </c>
      <c r="H127">
        <v>687887.73699999996</v>
      </c>
      <c r="I127">
        <v>4.4683555679999998</v>
      </c>
      <c r="J127" s="5">
        <v>629329.88</v>
      </c>
      <c r="K127" s="5">
        <v>6.65</v>
      </c>
      <c r="L127" s="5">
        <v>315336.25</v>
      </c>
      <c r="M127" s="5">
        <v>6.1</v>
      </c>
      <c r="P127" t="s">
        <v>169</v>
      </c>
      <c r="Q127">
        <v>3739833.59</v>
      </c>
      <c r="R127">
        <v>12.81</v>
      </c>
      <c r="S127">
        <v>3145600.32</v>
      </c>
      <c r="T127">
        <v>13.94</v>
      </c>
      <c r="U127">
        <v>687887.73699999996</v>
      </c>
      <c r="V127">
        <v>4.4683555679999998</v>
      </c>
      <c r="W127" s="5">
        <v>629329.88</v>
      </c>
      <c r="X127" s="5">
        <v>6.65</v>
      </c>
      <c r="Y127" s="5">
        <v>315336.25</v>
      </c>
      <c r="Z127" s="5">
        <v>6.1</v>
      </c>
    </row>
    <row r="128" spans="1:26" x14ac:dyDescent="0.2">
      <c r="A128">
        <v>2015</v>
      </c>
      <c r="B128">
        <v>7</v>
      </c>
      <c r="C128" t="str">
        <f t="shared" si="0"/>
        <v>07/2015</v>
      </c>
      <c r="D128">
        <v>1873900.54</v>
      </c>
      <c r="E128">
        <v>15.28</v>
      </c>
      <c r="F128">
        <v>16382.53</v>
      </c>
      <c r="G128">
        <v>16.3</v>
      </c>
      <c r="H128">
        <v>540786.67209999997</v>
      </c>
      <c r="I128">
        <v>4.3567900640000001</v>
      </c>
      <c r="J128" s="5">
        <v>1451751.79</v>
      </c>
      <c r="K128" s="5">
        <v>6.66</v>
      </c>
      <c r="L128" s="5">
        <v>599230.15</v>
      </c>
      <c r="M128" s="5">
        <v>6.51</v>
      </c>
      <c r="P128" t="s">
        <v>170</v>
      </c>
      <c r="Q128">
        <v>1873900.54</v>
      </c>
      <c r="R128">
        <v>15.28</v>
      </c>
      <c r="S128">
        <v>16382.53</v>
      </c>
      <c r="T128">
        <v>16.3</v>
      </c>
      <c r="U128">
        <v>540786.67209999997</v>
      </c>
      <c r="V128">
        <v>4.3567900640000001</v>
      </c>
      <c r="W128" s="5">
        <v>1451751.79</v>
      </c>
      <c r="X128" s="5">
        <v>6.66</v>
      </c>
      <c r="Y128" s="5">
        <v>599230.15</v>
      </c>
      <c r="Z128" s="5">
        <v>6.51</v>
      </c>
    </row>
    <row r="129" spans="1:26" x14ac:dyDescent="0.2">
      <c r="A129">
        <v>2015</v>
      </c>
      <c r="B129">
        <v>8</v>
      </c>
      <c r="C129" t="str">
        <f t="shared" si="0"/>
        <v>08/2015</v>
      </c>
      <c r="D129">
        <v>2022635.23</v>
      </c>
      <c r="E129">
        <v>13.96</v>
      </c>
      <c r="F129">
        <v>1327130.53</v>
      </c>
      <c r="G129">
        <v>14.24</v>
      </c>
      <c r="H129">
        <v>186078.74650000001</v>
      </c>
      <c r="I129">
        <v>4.8281763340000001</v>
      </c>
      <c r="J129" s="5">
        <v>1130782.73</v>
      </c>
      <c r="K129" s="5">
        <v>6.96</v>
      </c>
      <c r="L129" s="5">
        <v>677681.71</v>
      </c>
      <c r="M129" s="5">
        <v>6.37</v>
      </c>
      <c r="P129" t="s">
        <v>171</v>
      </c>
      <c r="Q129">
        <v>2022635.23</v>
      </c>
      <c r="R129">
        <v>13.96</v>
      </c>
      <c r="S129">
        <v>1327130.53</v>
      </c>
      <c r="T129">
        <v>14.24</v>
      </c>
      <c r="U129">
        <v>186078.74650000001</v>
      </c>
      <c r="V129">
        <v>4.8281763340000001</v>
      </c>
      <c r="W129" s="5">
        <v>1130782.73</v>
      </c>
      <c r="X129" s="5">
        <v>6.96</v>
      </c>
      <c r="Y129" s="5">
        <v>677681.71</v>
      </c>
      <c r="Z129" s="5">
        <v>6.37</v>
      </c>
    </row>
    <row r="130" spans="1:26" x14ac:dyDescent="0.2">
      <c r="A130">
        <v>2015</v>
      </c>
      <c r="B130">
        <v>9</v>
      </c>
      <c r="C130" t="str">
        <f t="shared" si="0"/>
        <v>09/2015</v>
      </c>
      <c r="D130">
        <v>2405174.2799999998</v>
      </c>
      <c r="E130">
        <v>14.51</v>
      </c>
      <c r="F130">
        <v>17158.560000000001</v>
      </c>
      <c r="G130">
        <v>7.38</v>
      </c>
      <c r="H130">
        <v>69800.473819999999</v>
      </c>
      <c r="I130">
        <v>5.3242475249999996</v>
      </c>
      <c r="J130" s="5">
        <v>743582.34</v>
      </c>
      <c r="K130" s="5">
        <v>7.21</v>
      </c>
      <c r="L130" s="5">
        <v>604788</v>
      </c>
      <c r="M130" s="5">
        <v>7.41</v>
      </c>
      <c r="P130" t="s">
        <v>172</v>
      </c>
      <c r="Q130">
        <v>2405174.2799999998</v>
      </c>
      <c r="R130">
        <v>14.51</v>
      </c>
      <c r="S130">
        <v>17158.560000000001</v>
      </c>
      <c r="T130">
        <v>7.38</v>
      </c>
      <c r="U130">
        <v>69800.473819999999</v>
      </c>
      <c r="V130">
        <v>5.3242475249999996</v>
      </c>
      <c r="W130" s="5">
        <v>743582.34</v>
      </c>
      <c r="X130" s="5">
        <v>7.21</v>
      </c>
      <c r="Y130" s="5">
        <v>604788</v>
      </c>
      <c r="Z130" s="5">
        <v>7.41</v>
      </c>
    </row>
    <row r="131" spans="1:26" x14ac:dyDescent="0.2">
      <c r="A131">
        <v>2015</v>
      </c>
      <c r="B131">
        <v>10</v>
      </c>
      <c r="C131" t="str">
        <f t="shared" si="0"/>
        <v>10/2015</v>
      </c>
      <c r="D131">
        <v>2099633.79</v>
      </c>
      <c r="E131">
        <v>14.52</v>
      </c>
      <c r="F131">
        <v>389236.68</v>
      </c>
      <c r="G131">
        <v>12.39</v>
      </c>
      <c r="H131">
        <v>35326.830880000001</v>
      </c>
      <c r="I131">
        <v>1.7904521410000001</v>
      </c>
      <c r="J131" s="5">
        <v>891830.1</v>
      </c>
      <c r="K131" s="5">
        <v>7.59</v>
      </c>
      <c r="L131" s="5">
        <v>572183.81000000006</v>
      </c>
      <c r="M131" s="5">
        <v>6.98</v>
      </c>
      <c r="P131" t="s">
        <v>173</v>
      </c>
      <c r="Q131">
        <v>2099633.79</v>
      </c>
      <c r="R131">
        <v>14.52</v>
      </c>
      <c r="S131">
        <v>389236.68</v>
      </c>
      <c r="T131">
        <v>12.39</v>
      </c>
      <c r="U131">
        <v>35326.830880000001</v>
      </c>
      <c r="V131">
        <v>1.7904521410000001</v>
      </c>
      <c r="W131" s="5">
        <v>891830.1</v>
      </c>
      <c r="X131" s="5">
        <v>7.59</v>
      </c>
      <c r="Y131" s="5">
        <v>572183.81000000006</v>
      </c>
      <c r="Z131" s="5">
        <v>6.98</v>
      </c>
    </row>
    <row r="132" spans="1:26" x14ac:dyDescent="0.2">
      <c r="A132">
        <v>2015</v>
      </c>
      <c r="B132">
        <v>11</v>
      </c>
      <c r="C132" t="str">
        <f t="shared" si="0"/>
        <v>11/2015</v>
      </c>
      <c r="D132">
        <v>2041919.04</v>
      </c>
      <c r="E132">
        <v>15.17</v>
      </c>
      <c r="F132">
        <v>12718.45</v>
      </c>
      <c r="G132">
        <v>14.37</v>
      </c>
      <c r="H132">
        <v>197337.7408</v>
      </c>
      <c r="I132">
        <v>4.9368154110000004</v>
      </c>
      <c r="J132" s="5">
        <v>914440.73</v>
      </c>
      <c r="K132" s="5">
        <v>6.26</v>
      </c>
      <c r="L132" s="5">
        <v>430642.52</v>
      </c>
      <c r="M132" s="5">
        <v>7.24</v>
      </c>
      <c r="P132" t="s">
        <v>174</v>
      </c>
      <c r="Q132">
        <v>2041919.04</v>
      </c>
      <c r="R132">
        <v>15.17</v>
      </c>
      <c r="S132">
        <v>12718.45</v>
      </c>
      <c r="T132">
        <v>14.37</v>
      </c>
      <c r="U132">
        <v>197337.7408</v>
      </c>
      <c r="V132">
        <v>4.9368154110000004</v>
      </c>
      <c r="W132" s="5">
        <v>914440.73</v>
      </c>
      <c r="X132" s="5">
        <v>6.26</v>
      </c>
      <c r="Y132" s="5">
        <v>430642.52</v>
      </c>
      <c r="Z132" s="5">
        <v>7.24</v>
      </c>
    </row>
    <row r="133" spans="1:26" x14ac:dyDescent="0.2">
      <c r="A133">
        <v>2015</v>
      </c>
      <c r="B133">
        <v>12</v>
      </c>
      <c r="C133" t="str">
        <f t="shared" si="0"/>
        <v>12/2015</v>
      </c>
      <c r="D133">
        <v>2382953.92</v>
      </c>
      <c r="E133">
        <v>15.02</v>
      </c>
      <c r="F133">
        <v>304698.33</v>
      </c>
      <c r="G133">
        <v>14.08</v>
      </c>
      <c r="H133">
        <v>151503.69099999999</v>
      </c>
      <c r="I133">
        <v>7.5458557629999996</v>
      </c>
      <c r="J133" s="5">
        <v>592627.30000000005</v>
      </c>
      <c r="K133" s="5">
        <v>4.66</v>
      </c>
      <c r="L133" s="5">
        <v>19848.23</v>
      </c>
      <c r="M133" s="5">
        <v>13.4</v>
      </c>
      <c r="P133" t="s">
        <v>175</v>
      </c>
      <c r="Q133">
        <v>2382953.92</v>
      </c>
      <c r="R133">
        <v>15.02</v>
      </c>
      <c r="S133">
        <v>304698.33</v>
      </c>
      <c r="T133">
        <v>14.08</v>
      </c>
      <c r="U133">
        <v>151503.69099999999</v>
      </c>
      <c r="V133">
        <v>7.5458557629999996</v>
      </c>
      <c r="W133" s="5">
        <v>592627.30000000005</v>
      </c>
      <c r="X133" s="5">
        <v>4.66</v>
      </c>
      <c r="Y133" s="5">
        <v>19848.23</v>
      </c>
      <c r="Z133" s="5">
        <v>13.4</v>
      </c>
    </row>
    <row r="134" spans="1:26" x14ac:dyDescent="0.2">
      <c r="A134">
        <v>2016</v>
      </c>
      <c r="B134">
        <v>1</v>
      </c>
      <c r="C134" t="str">
        <f t="shared" si="0"/>
        <v>01/2016</v>
      </c>
      <c r="D134">
        <v>1453730.84</v>
      </c>
      <c r="E134">
        <v>14.49</v>
      </c>
      <c r="F134">
        <v>194831.09</v>
      </c>
      <c r="G134">
        <v>9.7899999999999991</v>
      </c>
      <c r="H134">
        <v>26276.86578</v>
      </c>
      <c r="I134">
        <v>9.0349435880000009</v>
      </c>
      <c r="J134" s="5">
        <v>237499.78</v>
      </c>
      <c r="K134" s="5">
        <v>7.19</v>
      </c>
      <c r="L134" s="5">
        <v>237517.42</v>
      </c>
      <c r="M134" s="5">
        <v>7.21</v>
      </c>
      <c r="P134" t="s">
        <v>176</v>
      </c>
      <c r="Q134">
        <v>1453730.84</v>
      </c>
      <c r="R134">
        <v>14.49</v>
      </c>
      <c r="S134">
        <v>194831.09</v>
      </c>
      <c r="T134">
        <v>9.7899999999999991</v>
      </c>
      <c r="U134">
        <v>26276.86578</v>
      </c>
      <c r="V134">
        <v>9.0349435880000009</v>
      </c>
      <c r="W134" s="5">
        <v>237499.78</v>
      </c>
      <c r="X134" s="5">
        <v>7.19</v>
      </c>
      <c r="Y134" s="5">
        <v>237517.42</v>
      </c>
      <c r="Z134" s="5">
        <v>7.21</v>
      </c>
    </row>
    <row r="135" spans="1:26" x14ac:dyDescent="0.2">
      <c r="A135">
        <v>2016</v>
      </c>
      <c r="B135">
        <v>2</v>
      </c>
      <c r="C135" t="str">
        <f t="shared" si="0"/>
        <v>02/2016</v>
      </c>
      <c r="D135">
        <v>600679.57999999996</v>
      </c>
      <c r="E135">
        <v>11.76</v>
      </c>
      <c r="F135">
        <v>54264.52</v>
      </c>
      <c r="G135">
        <v>14.72</v>
      </c>
      <c r="H135">
        <v>42496.255120000002</v>
      </c>
      <c r="I135">
        <v>5.8332198750000002</v>
      </c>
      <c r="J135" s="5">
        <v>113820.35</v>
      </c>
      <c r="K135" s="5">
        <v>6.24</v>
      </c>
      <c r="L135" s="5">
        <v>20326.64</v>
      </c>
      <c r="M135" s="5">
        <v>3.12</v>
      </c>
      <c r="P135" t="s">
        <v>177</v>
      </c>
      <c r="Q135">
        <v>600679.57999999996</v>
      </c>
      <c r="R135">
        <v>11.76</v>
      </c>
      <c r="S135">
        <v>54264.52</v>
      </c>
      <c r="T135">
        <v>14.72</v>
      </c>
      <c r="U135">
        <v>42496.255120000002</v>
      </c>
      <c r="V135">
        <v>5.8332198750000002</v>
      </c>
      <c r="W135" s="5">
        <v>113820.35</v>
      </c>
      <c r="X135" s="5">
        <v>6.24</v>
      </c>
      <c r="Y135" s="5">
        <v>20326.64</v>
      </c>
      <c r="Z135" s="5">
        <v>3.12</v>
      </c>
    </row>
    <row r="136" spans="1:26" x14ac:dyDescent="0.2">
      <c r="A136">
        <v>2016</v>
      </c>
      <c r="B136">
        <v>3</v>
      </c>
      <c r="C136" t="str">
        <f t="shared" si="0"/>
        <v>03/2016</v>
      </c>
      <c r="D136">
        <v>319493.53000000003</v>
      </c>
      <c r="E136">
        <v>13.44</v>
      </c>
      <c r="F136">
        <v>2620464.2400000002</v>
      </c>
      <c r="G136">
        <v>11.5</v>
      </c>
      <c r="H136">
        <v>10000.15632</v>
      </c>
      <c r="I136">
        <v>7.1815877370000001</v>
      </c>
      <c r="J136" s="5">
        <v>202073.67</v>
      </c>
      <c r="K136" s="5">
        <v>10.09</v>
      </c>
      <c r="L136" s="5">
        <v>0</v>
      </c>
      <c r="M136" s="5">
        <v>0</v>
      </c>
      <c r="P136" t="s">
        <v>178</v>
      </c>
      <c r="Q136">
        <v>319493.53000000003</v>
      </c>
      <c r="R136">
        <v>13.44</v>
      </c>
      <c r="S136">
        <v>2620464.2400000002</v>
      </c>
      <c r="T136">
        <v>11.5</v>
      </c>
      <c r="U136">
        <v>10000.15632</v>
      </c>
      <c r="V136">
        <v>7.1815877370000001</v>
      </c>
      <c r="W136" s="5">
        <v>202073.67</v>
      </c>
      <c r="X136" s="5">
        <v>10.09</v>
      </c>
      <c r="Y136" s="5">
        <v>0</v>
      </c>
      <c r="Z136" s="5">
        <v>0</v>
      </c>
    </row>
    <row r="137" spans="1:26" x14ac:dyDescent="0.2">
      <c r="A137">
        <v>2016</v>
      </c>
      <c r="B137">
        <v>4</v>
      </c>
      <c r="C137" t="str">
        <f t="shared" si="0"/>
        <v>04/2016</v>
      </c>
      <c r="D137">
        <v>256985.94</v>
      </c>
      <c r="E137">
        <v>13.65</v>
      </c>
      <c r="F137">
        <v>53010.09</v>
      </c>
      <c r="G137">
        <v>15.53</v>
      </c>
      <c r="J137" s="5">
        <v>182304.8</v>
      </c>
      <c r="K137" s="5">
        <v>4.41</v>
      </c>
      <c r="L137" s="5">
        <v>0</v>
      </c>
      <c r="M137" s="5">
        <v>0</v>
      </c>
      <c r="P137" t="s">
        <v>179</v>
      </c>
      <c r="Q137">
        <v>256985.94</v>
      </c>
      <c r="R137">
        <v>13.65</v>
      </c>
      <c r="S137">
        <v>53010.09</v>
      </c>
      <c r="T137">
        <v>15.53</v>
      </c>
      <c r="W137" s="5">
        <v>182304.8</v>
      </c>
      <c r="X137" s="5">
        <v>4.41</v>
      </c>
      <c r="Y137" s="5">
        <v>0</v>
      </c>
      <c r="Z137" s="5">
        <v>0</v>
      </c>
    </row>
    <row r="138" spans="1:26" x14ac:dyDescent="0.2">
      <c r="A138">
        <v>2016</v>
      </c>
      <c r="B138">
        <v>5</v>
      </c>
      <c r="C138" t="str">
        <f t="shared" si="0"/>
        <v>05/2016</v>
      </c>
      <c r="D138">
        <v>2250147.61</v>
      </c>
      <c r="E138">
        <v>15.3</v>
      </c>
      <c r="F138">
        <v>4061503.08</v>
      </c>
      <c r="G138">
        <v>12.26</v>
      </c>
      <c r="H138">
        <v>218336.7463</v>
      </c>
      <c r="I138">
        <v>5.8062741219999996</v>
      </c>
      <c r="J138" s="5">
        <v>602510.63</v>
      </c>
      <c r="K138" s="5">
        <v>5.98</v>
      </c>
      <c r="L138" s="5">
        <v>36431.42</v>
      </c>
      <c r="M138" s="5">
        <v>7.24</v>
      </c>
      <c r="P138" t="s">
        <v>180</v>
      </c>
      <c r="Q138">
        <v>2250147.61</v>
      </c>
      <c r="R138">
        <v>15.3</v>
      </c>
      <c r="S138">
        <v>4061503.08</v>
      </c>
      <c r="T138">
        <v>12.26</v>
      </c>
      <c r="U138">
        <v>218336.7463</v>
      </c>
      <c r="V138">
        <v>5.8062741219999996</v>
      </c>
      <c r="W138" s="5">
        <v>602510.63</v>
      </c>
      <c r="X138" s="5">
        <v>5.98</v>
      </c>
      <c r="Y138" s="5">
        <v>36431.42</v>
      </c>
      <c r="Z138" s="5">
        <v>7.24</v>
      </c>
    </row>
    <row r="139" spans="1:26" x14ac:dyDescent="0.2">
      <c r="A139">
        <v>2016</v>
      </c>
      <c r="B139">
        <v>6</v>
      </c>
      <c r="C139" t="str">
        <f t="shared" si="0"/>
        <v>06/2016</v>
      </c>
      <c r="D139">
        <v>4000781.23</v>
      </c>
      <c r="E139">
        <v>15.23</v>
      </c>
      <c r="F139">
        <v>70519.179999999993</v>
      </c>
      <c r="G139">
        <v>16.22</v>
      </c>
      <c r="H139">
        <v>606731.26560000004</v>
      </c>
      <c r="I139">
        <v>5.6824251449999998</v>
      </c>
      <c r="J139" s="5">
        <v>1611479.04</v>
      </c>
      <c r="K139" s="5">
        <v>6.4</v>
      </c>
      <c r="L139" s="5">
        <v>1154610.31</v>
      </c>
      <c r="M139" s="5">
        <v>6.71</v>
      </c>
      <c r="P139" t="s">
        <v>181</v>
      </c>
      <c r="Q139">
        <v>4000781.23</v>
      </c>
      <c r="R139">
        <v>15.23</v>
      </c>
      <c r="S139">
        <v>70519.179999999993</v>
      </c>
      <c r="T139">
        <v>16.22</v>
      </c>
      <c r="U139">
        <v>606731.26560000004</v>
      </c>
      <c r="V139">
        <v>5.6824251449999998</v>
      </c>
      <c r="W139" s="5">
        <v>1611479.04</v>
      </c>
      <c r="X139" s="5">
        <v>6.4</v>
      </c>
      <c r="Y139" s="5">
        <v>1154610.31</v>
      </c>
      <c r="Z139" s="5">
        <v>6.71</v>
      </c>
    </row>
    <row r="140" spans="1:26" x14ac:dyDescent="0.2">
      <c r="A140">
        <v>2016</v>
      </c>
      <c r="B140">
        <v>7</v>
      </c>
      <c r="C140" t="str">
        <f t="shared" si="0"/>
        <v>07/2016</v>
      </c>
      <c r="D140">
        <v>2698196.94</v>
      </c>
      <c r="E140">
        <v>15.14</v>
      </c>
      <c r="F140">
        <v>2116338.2000000002</v>
      </c>
      <c r="G140">
        <v>13.95</v>
      </c>
      <c r="H140">
        <v>74838.03052</v>
      </c>
      <c r="I140">
        <v>5.7121091650000002</v>
      </c>
      <c r="J140" s="5">
        <v>1638794.33</v>
      </c>
      <c r="K140" s="5">
        <v>7.15</v>
      </c>
      <c r="L140" s="5">
        <v>771898.53</v>
      </c>
      <c r="M140" s="5">
        <v>7.78</v>
      </c>
      <c r="P140" t="s">
        <v>182</v>
      </c>
      <c r="Q140">
        <v>2698196.94</v>
      </c>
      <c r="R140">
        <v>15.14</v>
      </c>
      <c r="S140">
        <v>2116338.2000000002</v>
      </c>
      <c r="T140">
        <v>13.95</v>
      </c>
      <c r="U140">
        <v>74838.03052</v>
      </c>
      <c r="V140">
        <v>5.7121091650000002</v>
      </c>
      <c r="W140" s="5">
        <v>1638794.33</v>
      </c>
      <c r="X140" s="5">
        <v>7.15</v>
      </c>
      <c r="Y140" s="5">
        <v>771898.53</v>
      </c>
      <c r="Z140" s="5">
        <v>7.78</v>
      </c>
    </row>
    <row r="141" spans="1:26" x14ac:dyDescent="0.2">
      <c r="A141">
        <v>2016</v>
      </c>
      <c r="B141">
        <v>8</v>
      </c>
      <c r="C141" t="str">
        <f t="shared" si="0"/>
        <v>08/2016</v>
      </c>
      <c r="D141">
        <v>2302348.6</v>
      </c>
      <c r="E141">
        <v>14.99</v>
      </c>
      <c r="F141">
        <v>84540.56</v>
      </c>
      <c r="G141">
        <v>14.85</v>
      </c>
      <c r="H141">
        <v>155110.44930000001</v>
      </c>
      <c r="I141">
        <v>7.4181913909999997</v>
      </c>
      <c r="J141" s="5">
        <v>693647.6</v>
      </c>
      <c r="K141" s="5">
        <v>8.59</v>
      </c>
      <c r="L141" s="5">
        <v>698213.37</v>
      </c>
      <c r="M141" s="5">
        <v>8.39</v>
      </c>
      <c r="P141" t="s">
        <v>183</v>
      </c>
      <c r="Q141">
        <v>2302348.6</v>
      </c>
      <c r="R141">
        <v>14.99</v>
      </c>
      <c r="S141">
        <v>84540.56</v>
      </c>
      <c r="T141">
        <v>14.85</v>
      </c>
      <c r="U141">
        <v>155110.44930000001</v>
      </c>
      <c r="V141">
        <v>7.4181913909999997</v>
      </c>
      <c r="W141" s="5">
        <v>693647.6</v>
      </c>
      <c r="X141" s="5">
        <v>8.59</v>
      </c>
      <c r="Y141" s="5">
        <v>698213.37</v>
      </c>
      <c r="Z141" s="5">
        <v>8.39</v>
      </c>
    </row>
    <row r="142" spans="1:26" x14ac:dyDescent="0.2">
      <c r="A142">
        <v>2016</v>
      </c>
      <c r="B142">
        <v>9</v>
      </c>
      <c r="C142" t="str">
        <f t="shared" si="0"/>
        <v>09/2016</v>
      </c>
      <c r="D142">
        <v>1965813.36</v>
      </c>
      <c r="E142">
        <v>13.91</v>
      </c>
      <c r="F142">
        <v>4488690.0999999996</v>
      </c>
      <c r="G142">
        <v>13.2</v>
      </c>
      <c r="H142">
        <v>10934.915199999999</v>
      </c>
      <c r="I142">
        <v>8.1467481339999992</v>
      </c>
      <c r="J142" s="5">
        <v>868247.24</v>
      </c>
      <c r="K142" s="5">
        <v>7.18</v>
      </c>
      <c r="L142" s="5">
        <v>527403.48</v>
      </c>
      <c r="M142" s="5">
        <v>8.25</v>
      </c>
      <c r="P142" t="s">
        <v>184</v>
      </c>
      <c r="Q142">
        <v>1965813.36</v>
      </c>
      <c r="R142">
        <v>13.91</v>
      </c>
      <c r="S142">
        <v>4488690.0999999996</v>
      </c>
      <c r="T142">
        <v>13.2</v>
      </c>
      <c r="U142">
        <v>10934.915199999999</v>
      </c>
      <c r="V142">
        <v>8.1467481339999992</v>
      </c>
      <c r="W142" s="5">
        <v>868247.24</v>
      </c>
      <c r="X142" s="5">
        <v>7.18</v>
      </c>
      <c r="Y142" s="5">
        <v>527403.48</v>
      </c>
      <c r="Z142" s="5">
        <v>8.25</v>
      </c>
    </row>
    <row r="143" spans="1:26" x14ac:dyDescent="0.2">
      <c r="A143">
        <v>2016</v>
      </c>
      <c r="B143">
        <v>10</v>
      </c>
      <c r="C143" t="str">
        <f t="shared" si="0"/>
        <v>10/2016</v>
      </c>
      <c r="D143">
        <v>2126005.46</v>
      </c>
      <c r="E143">
        <v>14.75</v>
      </c>
      <c r="F143">
        <v>60596.19</v>
      </c>
      <c r="G143">
        <v>14.66</v>
      </c>
      <c r="H143">
        <v>47760.88768</v>
      </c>
      <c r="I143">
        <v>6.0500550559999997</v>
      </c>
      <c r="J143" s="5">
        <v>898042.73</v>
      </c>
      <c r="K143" s="5">
        <v>7.04</v>
      </c>
      <c r="L143" s="5">
        <v>414731.74</v>
      </c>
      <c r="M143" s="5">
        <v>7.59</v>
      </c>
      <c r="P143" t="s">
        <v>185</v>
      </c>
      <c r="Q143">
        <v>2126005.46</v>
      </c>
      <c r="R143">
        <v>14.75</v>
      </c>
      <c r="S143">
        <v>60596.19</v>
      </c>
      <c r="T143">
        <v>14.66</v>
      </c>
      <c r="U143">
        <v>47760.88768</v>
      </c>
      <c r="V143">
        <v>6.0500550559999997</v>
      </c>
      <c r="W143" s="5">
        <v>898042.73</v>
      </c>
      <c r="X143" s="5">
        <v>7.04</v>
      </c>
      <c r="Y143" s="5">
        <v>414731.74</v>
      </c>
      <c r="Z143" s="5">
        <v>7.59</v>
      </c>
    </row>
    <row r="144" spans="1:26" x14ac:dyDescent="0.2">
      <c r="A144">
        <v>2016</v>
      </c>
      <c r="B144">
        <v>11</v>
      </c>
      <c r="C144" t="str">
        <f t="shared" si="0"/>
        <v>11/2016</v>
      </c>
      <c r="D144">
        <v>1957662.88</v>
      </c>
      <c r="E144">
        <v>14.44</v>
      </c>
      <c r="F144">
        <v>3550163.52</v>
      </c>
      <c r="G144">
        <v>13.77</v>
      </c>
      <c r="H144">
        <v>384873.74109999998</v>
      </c>
      <c r="I144">
        <v>6.766403425</v>
      </c>
      <c r="J144" s="5">
        <v>543547.94999999995</v>
      </c>
      <c r="K144" s="5">
        <v>6.35</v>
      </c>
      <c r="L144" s="5">
        <v>266572.15999999997</v>
      </c>
      <c r="M144" s="5">
        <v>7.22</v>
      </c>
      <c r="P144" t="s">
        <v>186</v>
      </c>
      <c r="Q144">
        <v>1957662.88</v>
      </c>
      <c r="R144">
        <v>14.44</v>
      </c>
      <c r="S144">
        <v>3550163.52</v>
      </c>
      <c r="T144">
        <v>13.77</v>
      </c>
      <c r="U144">
        <v>384873.74109999998</v>
      </c>
      <c r="V144">
        <v>6.766403425</v>
      </c>
      <c r="W144" s="5">
        <v>543547.94999999995</v>
      </c>
      <c r="X144" s="5">
        <v>6.35</v>
      </c>
      <c r="Y144" s="5">
        <v>266572.15999999997</v>
      </c>
      <c r="Z144" s="5">
        <v>7.22</v>
      </c>
    </row>
    <row r="145" spans="1:26" x14ac:dyDescent="0.2">
      <c r="A145">
        <v>2016</v>
      </c>
      <c r="B145">
        <v>12</v>
      </c>
      <c r="C145" t="str">
        <f t="shared" si="0"/>
        <v>12/2016</v>
      </c>
      <c r="D145">
        <v>1916039.65</v>
      </c>
      <c r="E145">
        <v>14.47</v>
      </c>
      <c r="F145">
        <v>268.95999999999998</v>
      </c>
      <c r="G145">
        <v>12.33</v>
      </c>
      <c r="H145">
        <v>145694.51730000001</v>
      </c>
      <c r="I145">
        <v>5.6576665689999999</v>
      </c>
      <c r="J145" s="5">
        <v>309458.71999999997</v>
      </c>
      <c r="K145" s="5">
        <v>7.09</v>
      </c>
      <c r="L145" s="5">
        <v>11960.09</v>
      </c>
      <c r="M145" s="5">
        <v>7.49</v>
      </c>
      <c r="P145" t="s">
        <v>187</v>
      </c>
      <c r="Q145">
        <v>1916039.65</v>
      </c>
      <c r="R145">
        <v>14.47</v>
      </c>
      <c r="S145">
        <v>268.95999999999998</v>
      </c>
      <c r="T145">
        <v>12.33</v>
      </c>
      <c r="U145">
        <v>145694.51730000001</v>
      </c>
      <c r="V145">
        <v>5.6576665689999999</v>
      </c>
      <c r="W145" s="5">
        <v>309458.71999999997</v>
      </c>
      <c r="X145" s="5">
        <v>7.09</v>
      </c>
      <c r="Y145" s="5">
        <v>11960.09</v>
      </c>
      <c r="Z145" s="5">
        <v>7.49</v>
      </c>
    </row>
    <row r="146" spans="1:26" x14ac:dyDescent="0.2">
      <c r="A146">
        <v>2017</v>
      </c>
      <c r="B146">
        <v>1</v>
      </c>
      <c r="C146" t="str">
        <f t="shared" si="0"/>
        <v>01/2017</v>
      </c>
      <c r="D146">
        <v>229302.53</v>
      </c>
      <c r="E146">
        <v>4.4400000000000004</v>
      </c>
      <c r="F146">
        <v>3022353.24</v>
      </c>
      <c r="G146">
        <v>12.65</v>
      </c>
      <c r="H146">
        <v>1444.0261</v>
      </c>
      <c r="I146">
        <v>5.2512901259999998</v>
      </c>
      <c r="J146" s="5">
        <v>96544.91</v>
      </c>
      <c r="K146" s="5">
        <v>10.66</v>
      </c>
      <c r="L146" s="5">
        <v>35135.1</v>
      </c>
      <c r="M146" s="5">
        <v>6.65</v>
      </c>
      <c r="P146" t="s">
        <v>188</v>
      </c>
      <c r="Q146">
        <v>229302.53</v>
      </c>
      <c r="R146">
        <v>4.4400000000000004</v>
      </c>
      <c r="S146">
        <v>3022353.24</v>
      </c>
      <c r="T146">
        <v>12.65</v>
      </c>
      <c r="U146">
        <v>1444.0261</v>
      </c>
      <c r="V146">
        <v>5.2512901259999998</v>
      </c>
      <c r="W146" s="5">
        <v>96544.91</v>
      </c>
      <c r="X146" s="5">
        <v>10.66</v>
      </c>
      <c r="Y146" s="5">
        <v>35135.1</v>
      </c>
      <c r="Z146" s="5">
        <v>6.65</v>
      </c>
    </row>
    <row r="147" spans="1:26" x14ac:dyDescent="0.2">
      <c r="A147">
        <v>2017</v>
      </c>
      <c r="B147">
        <v>2</v>
      </c>
      <c r="C147" t="str">
        <f t="shared" si="0"/>
        <v>02/2017</v>
      </c>
      <c r="D147">
        <v>488180.03</v>
      </c>
      <c r="E147">
        <v>16.7</v>
      </c>
      <c r="F147">
        <v>2768786.67</v>
      </c>
      <c r="G147">
        <v>12.08</v>
      </c>
      <c r="H147">
        <v>53285.665399999998</v>
      </c>
      <c r="I147">
        <v>6.4803732370000002</v>
      </c>
      <c r="J147" s="5">
        <v>52915.4</v>
      </c>
      <c r="K147" s="5">
        <v>8.39</v>
      </c>
      <c r="L147" s="5">
        <v>0</v>
      </c>
      <c r="M147" s="5">
        <v>0</v>
      </c>
      <c r="P147" t="s">
        <v>189</v>
      </c>
      <c r="Q147">
        <v>488180.03</v>
      </c>
      <c r="R147">
        <v>16.7</v>
      </c>
      <c r="S147">
        <v>2768786.67</v>
      </c>
      <c r="T147">
        <v>12.08</v>
      </c>
      <c r="U147">
        <v>53285.665399999998</v>
      </c>
      <c r="V147">
        <v>6.4803732370000002</v>
      </c>
      <c r="W147" s="5">
        <v>52915.4</v>
      </c>
      <c r="X147" s="5">
        <v>8.39</v>
      </c>
      <c r="Y147" s="5">
        <v>0</v>
      </c>
      <c r="Z147" s="5">
        <v>0</v>
      </c>
    </row>
    <row r="148" spans="1:26" x14ac:dyDescent="0.2">
      <c r="A148">
        <v>2017</v>
      </c>
      <c r="B148">
        <v>3</v>
      </c>
      <c r="C148" t="str">
        <f t="shared" si="0"/>
        <v>03/2017</v>
      </c>
      <c r="D148">
        <v>804584.89</v>
      </c>
      <c r="E148">
        <v>11.81</v>
      </c>
      <c r="F148">
        <v>2949.78</v>
      </c>
      <c r="G148">
        <v>2.0499999999999998</v>
      </c>
      <c r="H148">
        <v>8518.6516800000009</v>
      </c>
      <c r="I148">
        <v>8.9778292240000006</v>
      </c>
      <c r="J148" s="5">
        <v>111767.84</v>
      </c>
      <c r="K148" s="5">
        <v>8.4499999999999993</v>
      </c>
      <c r="L148" s="5">
        <v>26305.58</v>
      </c>
      <c r="M148" s="5">
        <v>3.29</v>
      </c>
      <c r="P148" t="s">
        <v>190</v>
      </c>
      <c r="Q148">
        <v>804584.89</v>
      </c>
      <c r="R148">
        <v>11.81</v>
      </c>
      <c r="S148">
        <v>2949.78</v>
      </c>
      <c r="T148">
        <v>2.0499999999999998</v>
      </c>
      <c r="U148">
        <v>8518.6516800000009</v>
      </c>
      <c r="V148">
        <v>8.9778292240000006</v>
      </c>
      <c r="W148" s="5">
        <v>111767.84</v>
      </c>
      <c r="X148" s="5">
        <v>8.4499999999999993</v>
      </c>
      <c r="Y148" s="5">
        <v>26305.58</v>
      </c>
      <c r="Z148" s="5">
        <v>3.29</v>
      </c>
    </row>
    <row r="149" spans="1:26" x14ac:dyDescent="0.2">
      <c r="A149">
        <v>2017</v>
      </c>
      <c r="B149">
        <v>4</v>
      </c>
      <c r="C149" t="str">
        <f t="shared" si="0"/>
        <v>04/2017</v>
      </c>
      <c r="D149">
        <v>87102.33</v>
      </c>
      <c r="E149">
        <v>3.88</v>
      </c>
      <c r="F149">
        <v>3225348.04</v>
      </c>
      <c r="G149">
        <v>12.45</v>
      </c>
      <c r="H149">
        <v>38036.308859999997</v>
      </c>
      <c r="I149">
        <v>6.8258726410000001</v>
      </c>
      <c r="J149" s="5">
        <v>25293.66</v>
      </c>
      <c r="K149" s="5">
        <v>9.25</v>
      </c>
      <c r="L149" s="5">
        <v>0</v>
      </c>
      <c r="M149" s="5">
        <v>0</v>
      </c>
      <c r="P149" t="s">
        <v>191</v>
      </c>
      <c r="Q149">
        <v>87102.33</v>
      </c>
      <c r="R149">
        <v>3.88</v>
      </c>
      <c r="S149">
        <v>3225348.04</v>
      </c>
      <c r="T149">
        <v>12.45</v>
      </c>
      <c r="U149">
        <v>38036.308859999997</v>
      </c>
      <c r="V149">
        <v>6.8258726410000001</v>
      </c>
      <c r="W149" s="5">
        <v>25293.66</v>
      </c>
      <c r="X149" s="5">
        <v>9.25</v>
      </c>
      <c r="Y149" s="5">
        <v>0</v>
      </c>
      <c r="Z149" s="5">
        <v>0</v>
      </c>
    </row>
    <row r="150" spans="1:26" x14ac:dyDescent="0.2">
      <c r="A150">
        <v>2017</v>
      </c>
      <c r="B150">
        <v>5</v>
      </c>
      <c r="C150" t="str">
        <f t="shared" si="0"/>
        <v>05/2017</v>
      </c>
      <c r="D150">
        <v>32357.21</v>
      </c>
      <c r="E150">
        <v>11.93</v>
      </c>
      <c r="F150">
        <v>1386642.05</v>
      </c>
      <c r="G150">
        <v>13.92</v>
      </c>
      <c r="H150">
        <v>280048.4694</v>
      </c>
      <c r="I150">
        <v>6.3486331639999998</v>
      </c>
      <c r="J150" s="5">
        <v>390392.69</v>
      </c>
      <c r="K150" s="5">
        <v>6.32</v>
      </c>
      <c r="L150" s="5">
        <v>112612.22</v>
      </c>
      <c r="M150" s="5">
        <v>7.45</v>
      </c>
      <c r="P150" t="s">
        <v>192</v>
      </c>
      <c r="Q150">
        <v>32357.21</v>
      </c>
      <c r="R150">
        <v>11.93</v>
      </c>
      <c r="S150">
        <v>1386642.05</v>
      </c>
      <c r="T150">
        <v>13.92</v>
      </c>
      <c r="U150">
        <v>280048.4694</v>
      </c>
      <c r="V150">
        <v>6.3486331639999998</v>
      </c>
      <c r="W150" s="5">
        <v>390392.69</v>
      </c>
      <c r="X150" s="5">
        <v>6.32</v>
      </c>
      <c r="Y150" s="5">
        <v>112612.22</v>
      </c>
      <c r="Z150" s="5">
        <v>7.45</v>
      </c>
    </row>
    <row r="151" spans="1:26" x14ac:dyDescent="0.2">
      <c r="A151">
        <v>2017</v>
      </c>
      <c r="B151">
        <v>6</v>
      </c>
      <c r="C151" t="str">
        <f t="shared" ref="C151:C214" si="1">TEXT(DATE(A151,B151,1),"mm/yyyy")</f>
        <v>06/2017</v>
      </c>
      <c r="D151">
        <v>239053.56</v>
      </c>
      <c r="E151">
        <v>17.05</v>
      </c>
      <c r="F151">
        <v>437489.2</v>
      </c>
      <c r="G151">
        <v>11.91</v>
      </c>
      <c r="H151">
        <v>518714.01669999998</v>
      </c>
      <c r="I151">
        <v>6.4495095410000003</v>
      </c>
      <c r="J151" s="5">
        <v>1276107.1599999999</v>
      </c>
      <c r="K151" s="5">
        <v>7.12</v>
      </c>
      <c r="L151" s="5">
        <v>648505.71</v>
      </c>
      <c r="M151" s="5">
        <v>7.8</v>
      </c>
      <c r="P151" t="s">
        <v>193</v>
      </c>
      <c r="Q151">
        <v>239053.56</v>
      </c>
      <c r="R151">
        <v>17.05</v>
      </c>
      <c r="S151">
        <v>437489.2</v>
      </c>
      <c r="T151">
        <v>11.91</v>
      </c>
      <c r="U151">
        <v>518714.01669999998</v>
      </c>
      <c r="V151">
        <v>6.4495095410000003</v>
      </c>
      <c r="W151" s="5">
        <v>1276107.1599999999</v>
      </c>
      <c r="X151" s="5">
        <v>7.12</v>
      </c>
      <c r="Y151" s="5">
        <v>648505.71</v>
      </c>
      <c r="Z151" s="5">
        <v>7.8</v>
      </c>
    </row>
    <row r="152" spans="1:26" x14ac:dyDescent="0.2">
      <c r="A152">
        <v>2017</v>
      </c>
      <c r="B152">
        <v>7</v>
      </c>
      <c r="C152" t="str">
        <f t="shared" si="1"/>
        <v>07/2017</v>
      </c>
      <c r="D152">
        <v>72721.600000000006</v>
      </c>
      <c r="E152">
        <v>3.91</v>
      </c>
      <c r="F152">
        <v>201303.85</v>
      </c>
      <c r="G152">
        <v>12.78</v>
      </c>
      <c r="H152">
        <v>99946.447700000004</v>
      </c>
      <c r="I152">
        <v>7.933868769</v>
      </c>
      <c r="J152" s="5">
        <v>1661497.56</v>
      </c>
      <c r="K152" s="5">
        <v>7.83</v>
      </c>
      <c r="L152" s="5">
        <v>808971.5</v>
      </c>
      <c r="M152" s="5">
        <v>7.74</v>
      </c>
      <c r="P152" t="s">
        <v>194</v>
      </c>
      <c r="Q152">
        <v>72721.600000000006</v>
      </c>
      <c r="R152">
        <v>3.91</v>
      </c>
      <c r="S152">
        <v>201303.85</v>
      </c>
      <c r="T152">
        <v>12.78</v>
      </c>
      <c r="U152">
        <v>99946.447700000004</v>
      </c>
      <c r="V152">
        <v>7.933868769</v>
      </c>
      <c r="W152" s="5">
        <v>1661497.56</v>
      </c>
      <c r="X152" s="5">
        <v>7.83</v>
      </c>
      <c r="Y152" s="5">
        <v>808971.5</v>
      </c>
      <c r="Z152" s="5">
        <v>7.74</v>
      </c>
    </row>
    <row r="153" spans="1:26" x14ac:dyDescent="0.2">
      <c r="A153">
        <v>2017</v>
      </c>
      <c r="B153">
        <v>8</v>
      </c>
      <c r="C153" t="str">
        <f t="shared" si="1"/>
        <v>08/2017</v>
      </c>
      <c r="D153">
        <v>344132.36</v>
      </c>
      <c r="E153">
        <v>13.79</v>
      </c>
      <c r="F153">
        <v>299.83</v>
      </c>
      <c r="G153">
        <v>16.75</v>
      </c>
      <c r="H153">
        <v>544838.76370000001</v>
      </c>
      <c r="I153">
        <v>6.1616412479999996</v>
      </c>
      <c r="J153" s="5">
        <v>820115.88</v>
      </c>
      <c r="K153" s="5">
        <v>6.11</v>
      </c>
      <c r="L153" s="5">
        <v>576520.31000000006</v>
      </c>
      <c r="M153" s="5">
        <v>8.25</v>
      </c>
      <c r="P153" t="s">
        <v>195</v>
      </c>
      <c r="Q153">
        <v>344132.36</v>
      </c>
      <c r="R153">
        <v>13.79</v>
      </c>
      <c r="S153">
        <v>299.83</v>
      </c>
      <c r="T153">
        <v>16.75</v>
      </c>
      <c r="U153">
        <v>544838.76370000001</v>
      </c>
      <c r="V153">
        <v>6.1616412479999996</v>
      </c>
      <c r="W153" s="5">
        <v>820115.88</v>
      </c>
      <c r="X153" s="5">
        <v>6.11</v>
      </c>
      <c r="Y153" s="5">
        <v>576520.31000000006</v>
      </c>
      <c r="Z153" s="5">
        <v>8.25</v>
      </c>
    </row>
    <row r="154" spans="1:26" x14ac:dyDescent="0.2">
      <c r="A154">
        <v>2017</v>
      </c>
      <c r="B154">
        <v>9</v>
      </c>
      <c r="C154" t="str">
        <f t="shared" si="1"/>
        <v>09/2017</v>
      </c>
      <c r="D154">
        <v>47913.01</v>
      </c>
      <c r="E154">
        <v>10.5</v>
      </c>
      <c r="F154">
        <v>170359.81</v>
      </c>
      <c r="G154">
        <v>13.88</v>
      </c>
      <c r="H154">
        <v>473545.76209999999</v>
      </c>
      <c r="I154">
        <v>6.3536562679999999</v>
      </c>
      <c r="J154" s="5">
        <v>819057.66</v>
      </c>
      <c r="K154" s="5">
        <v>8.2799999999999994</v>
      </c>
      <c r="L154" s="5">
        <v>281713.52</v>
      </c>
      <c r="M154" s="5">
        <v>9.15</v>
      </c>
      <c r="P154" t="s">
        <v>196</v>
      </c>
      <c r="Q154">
        <v>47913.01</v>
      </c>
      <c r="R154">
        <v>10.5</v>
      </c>
      <c r="S154">
        <v>170359.81</v>
      </c>
      <c r="T154">
        <v>13.88</v>
      </c>
      <c r="U154">
        <v>473545.76209999999</v>
      </c>
      <c r="V154">
        <v>6.3536562679999999</v>
      </c>
      <c r="W154" s="5">
        <v>819057.66</v>
      </c>
      <c r="X154" s="5">
        <v>8.2799999999999994</v>
      </c>
      <c r="Y154" s="5">
        <v>281713.52</v>
      </c>
      <c r="Z154" s="5">
        <v>9.15</v>
      </c>
    </row>
    <row r="155" spans="1:26" x14ac:dyDescent="0.2">
      <c r="A155">
        <v>2017</v>
      </c>
      <c r="B155">
        <v>10</v>
      </c>
      <c r="C155" t="str">
        <f t="shared" si="1"/>
        <v>10/2017</v>
      </c>
      <c r="D155">
        <v>185452.63</v>
      </c>
      <c r="E155">
        <v>16.88</v>
      </c>
      <c r="F155">
        <v>3021286.21</v>
      </c>
      <c r="G155">
        <v>11.95</v>
      </c>
      <c r="H155">
        <v>309447.07709999999</v>
      </c>
      <c r="I155">
        <v>6.3823546779999996</v>
      </c>
      <c r="J155" s="5">
        <v>793713.29</v>
      </c>
      <c r="K155" s="5">
        <v>7.06</v>
      </c>
      <c r="L155" s="5">
        <v>205254.94</v>
      </c>
      <c r="M155" s="5">
        <v>8.4499999999999993</v>
      </c>
      <c r="P155" t="s">
        <v>197</v>
      </c>
      <c r="Q155">
        <v>185452.63</v>
      </c>
      <c r="R155">
        <v>16.88</v>
      </c>
      <c r="S155">
        <v>3021286.21</v>
      </c>
      <c r="T155">
        <v>11.95</v>
      </c>
      <c r="U155">
        <v>309447.07709999999</v>
      </c>
      <c r="V155">
        <v>6.3823546779999996</v>
      </c>
      <c r="W155" s="5">
        <v>793713.29</v>
      </c>
      <c r="X155" s="5">
        <v>7.06</v>
      </c>
      <c r="Y155" s="5">
        <v>205254.94</v>
      </c>
      <c r="Z155" s="5">
        <v>8.4499999999999993</v>
      </c>
    </row>
    <row r="156" spans="1:26" x14ac:dyDescent="0.2">
      <c r="A156">
        <v>2017</v>
      </c>
      <c r="B156">
        <v>11</v>
      </c>
      <c r="C156" t="str">
        <f t="shared" si="1"/>
        <v>11/2017</v>
      </c>
      <c r="D156">
        <v>75801.45</v>
      </c>
      <c r="E156">
        <v>3.96</v>
      </c>
      <c r="F156">
        <v>114541.03</v>
      </c>
      <c r="G156">
        <v>12.61</v>
      </c>
      <c r="H156">
        <v>218279.42619999999</v>
      </c>
      <c r="I156">
        <v>6.5855175859999999</v>
      </c>
      <c r="J156" s="5">
        <v>476362.02</v>
      </c>
      <c r="K156" s="5">
        <v>7.52</v>
      </c>
      <c r="L156" s="5">
        <v>61037.23</v>
      </c>
      <c r="M156" s="5">
        <v>5.22</v>
      </c>
      <c r="P156" t="s">
        <v>198</v>
      </c>
      <c r="Q156">
        <v>75801.45</v>
      </c>
      <c r="R156">
        <v>3.96</v>
      </c>
      <c r="S156">
        <v>114541.03</v>
      </c>
      <c r="T156">
        <v>12.61</v>
      </c>
      <c r="U156">
        <v>218279.42619999999</v>
      </c>
      <c r="V156">
        <v>6.5855175859999999</v>
      </c>
      <c r="W156" s="5">
        <v>476362.02</v>
      </c>
      <c r="X156" s="5">
        <v>7.52</v>
      </c>
      <c r="Y156" s="5">
        <v>61037.23</v>
      </c>
      <c r="Z156" s="5">
        <v>5.22</v>
      </c>
    </row>
    <row r="157" spans="1:26" x14ac:dyDescent="0.2">
      <c r="A157">
        <v>2017</v>
      </c>
      <c r="B157">
        <v>12</v>
      </c>
      <c r="C157" t="str">
        <f t="shared" si="1"/>
        <v>12/2017</v>
      </c>
      <c r="D157">
        <v>309167.09000000003</v>
      </c>
      <c r="E157">
        <v>12.72</v>
      </c>
      <c r="F157">
        <v>4955963.71</v>
      </c>
      <c r="G157">
        <v>12.08</v>
      </c>
      <c r="H157">
        <v>129508.1973</v>
      </c>
      <c r="I157">
        <v>5.9534841519999997</v>
      </c>
      <c r="J157" s="5">
        <v>354735.09</v>
      </c>
      <c r="K157" s="5">
        <v>9.4</v>
      </c>
      <c r="L157" s="5">
        <v>10747.54</v>
      </c>
      <c r="M157" s="5">
        <v>7.97</v>
      </c>
      <c r="P157" t="s">
        <v>199</v>
      </c>
      <c r="Q157">
        <v>309167.09000000003</v>
      </c>
      <c r="R157">
        <v>12.72</v>
      </c>
      <c r="S157">
        <v>4955963.71</v>
      </c>
      <c r="T157">
        <v>12.08</v>
      </c>
      <c r="U157">
        <v>129508.1973</v>
      </c>
      <c r="V157">
        <v>5.9534841519999997</v>
      </c>
      <c r="W157" s="5">
        <v>354735.09</v>
      </c>
      <c r="X157" s="5">
        <v>9.4</v>
      </c>
      <c r="Y157" s="5">
        <v>10747.54</v>
      </c>
      <c r="Z157" s="5">
        <v>7.97</v>
      </c>
    </row>
    <row r="158" spans="1:26" x14ac:dyDescent="0.2">
      <c r="A158">
        <v>2018</v>
      </c>
      <c r="B158">
        <v>1</v>
      </c>
      <c r="C158" t="str">
        <f t="shared" si="1"/>
        <v>01/2018</v>
      </c>
      <c r="D158">
        <v>40366.589999999997</v>
      </c>
      <c r="E158">
        <v>9.76</v>
      </c>
      <c r="F158">
        <v>116573.69</v>
      </c>
      <c r="G158">
        <v>14.86</v>
      </c>
      <c r="H158">
        <v>176565.8112</v>
      </c>
      <c r="I158">
        <v>6.4218774429999996</v>
      </c>
      <c r="J158" s="5">
        <v>72318.289999999994</v>
      </c>
      <c r="K158" s="5">
        <v>12.75</v>
      </c>
      <c r="L158" s="5">
        <v>18518.849999999999</v>
      </c>
      <c r="M158" s="5">
        <v>7.93</v>
      </c>
      <c r="P158" t="s">
        <v>200</v>
      </c>
      <c r="Q158">
        <v>40366.589999999997</v>
      </c>
      <c r="R158">
        <v>9.76</v>
      </c>
      <c r="S158">
        <v>116573.69</v>
      </c>
      <c r="T158">
        <v>14.86</v>
      </c>
      <c r="U158">
        <v>176565.8112</v>
      </c>
      <c r="V158">
        <v>6.4218774429999996</v>
      </c>
      <c r="W158" s="5">
        <v>72318.289999999994</v>
      </c>
      <c r="X158" s="5">
        <v>12.75</v>
      </c>
      <c r="Y158" s="5">
        <v>18518.849999999999</v>
      </c>
      <c r="Z158" s="5">
        <v>7.93</v>
      </c>
    </row>
    <row r="159" spans="1:26" x14ac:dyDescent="0.2">
      <c r="A159">
        <v>2018</v>
      </c>
      <c r="B159">
        <v>2</v>
      </c>
      <c r="C159" t="str">
        <f t="shared" si="1"/>
        <v>02/2018</v>
      </c>
      <c r="D159">
        <v>82472.63</v>
      </c>
      <c r="E159">
        <v>16.21</v>
      </c>
      <c r="F159">
        <v>120429.57</v>
      </c>
      <c r="G159">
        <v>12.78</v>
      </c>
      <c r="H159">
        <v>97878.514139999999</v>
      </c>
      <c r="I159">
        <v>5.1422419359999996</v>
      </c>
      <c r="J159" s="5">
        <v>205340.92</v>
      </c>
      <c r="K159" s="5">
        <v>6</v>
      </c>
      <c r="L159" s="5">
        <v>0</v>
      </c>
      <c r="M159" s="5">
        <v>0</v>
      </c>
      <c r="P159" t="s">
        <v>201</v>
      </c>
      <c r="Q159">
        <v>82472.63</v>
      </c>
      <c r="R159">
        <v>16.21</v>
      </c>
      <c r="S159">
        <v>120429.57</v>
      </c>
      <c r="T159">
        <v>12.78</v>
      </c>
      <c r="U159">
        <v>97878.514139999999</v>
      </c>
      <c r="V159">
        <v>5.1422419359999996</v>
      </c>
      <c r="W159" s="5">
        <v>205340.92</v>
      </c>
      <c r="X159" s="5">
        <v>6</v>
      </c>
      <c r="Y159" s="5">
        <v>0</v>
      </c>
      <c r="Z159" s="5">
        <v>0</v>
      </c>
    </row>
    <row r="160" spans="1:26" x14ac:dyDescent="0.2">
      <c r="A160">
        <v>2018</v>
      </c>
      <c r="B160">
        <v>3</v>
      </c>
      <c r="C160" t="str">
        <f t="shared" si="1"/>
        <v>03/2018</v>
      </c>
      <c r="D160">
        <v>24100.91</v>
      </c>
      <c r="E160">
        <v>1.2</v>
      </c>
      <c r="F160">
        <v>3716147.16</v>
      </c>
      <c r="G160">
        <v>12.18</v>
      </c>
      <c r="H160">
        <v>104450.48639999999</v>
      </c>
      <c r="I160">
        <v>5.8966599530000003</v>
      </c>
      <c r="J160" s="5">
        <v>76158.75</v>
      </c>
      <c r="K160" s="5">
        <v>10.67</v>
      </c>
      <c r="L160" s="5">
        <v>19336.759999999998</v>
      </c>
      <c r="M160" s="5">
        <v>7.71</v>
      </c>
      <c r="P160" t="s">
        <v>202</v>
      </c>
      <c r="Q160">
        <v>24100.91</v>
      </c>
      <c r="R160">
        <v>1.2</v>
      </c>
      <c r="S160">
        <v>3716147.16</v>
      </c>
      <c r="T160">
        <v>12.18</v>
      </c>
      <c r="U160">
        <v>104450.48639999999</v>
      </c>
      <c r="V160">
        <v>5.8966599530000003</v>
      </c>
      <c r="W160" s="5">
        <v>76158.75</v>
      </c>
      <c r="X160" s="5">
        <v>10.67</v>
      </c>
      <c r="Y160" s="5">
        <v>19336.759999999998</v>
      </c>
      <c r="Z160" s="5">
        <v>7.71</v>
      </c>
    </row>
    <row r="161" spans="1:26" x14ac:dyDescent="0.2">
      <c r="A161">
        <v>2018</v>
      </c>
      <c r="B161">
        <v>4</v>
      </c>
      <c r="C161" t="str">
        <f t="shared" si="1"/>
        <v>04/2018</v>
      </c>
      <c r="D161">
        <v>146940.13</v>
      </c>
      <c r="E161">
        <v>11.97</v>
      </c>
      <c r="F161">
        <v>110061.24</v>
      </c>
      <c r="G161">
        <v>8.4600000000000009</v>
      </c>
      <c r="H161">
        <v>280189.565</v>
      </c>
      <c r="I161">
        <v>5.6768245449999997</v>
      </c>
      <c r="J161" s="5">
        <v>115925.77</v>
      </c>
      <c r="K161" s="5">
        <v>5.77</v>
      </c>
      <c r="L161" s="5">
        <v>0</v>
      </c>
      <c r="M161" s="5">
        <v>0</v>
      </c>
      <c r="P161" t="s">
        <v>203</v>
      </c>
      <c r="Q161">
        <v>146940.13</v>
      </c>
      <c r="R161">
        <v>11.97</v>
      </c>
      <c r="S161">
        <v>110061.24</v>
      </c>
      <c r="T161">
        <v>8.4600000000000009</v>
      </c>
      <c r="U161">
        <v>280189.565</v>
      </c>
      <c r="V161">
        <v>5.6768245449999997</v>
      </c>
      <c r="W161" s="5">
        <v>115925.77</v>
      </c>
      <c r="X161" s="5">
        <v>5.77</v>
      </c>
      <c r="Y161" s="5">
        <v>0</v>
      </c>
      <c r="Z161" s="5">
        <v>0</v>
      </c>
    </row>
    <row r="162" spans="1:26" x14ac:dyDescent="0.2">
      <c r="A162">
        <v>2018</v>
      </c>
      <c r="B162">
        <v>5</v>
      </c>
      <c r="C162" t="str">
        <f t="shared" si="1"/>
        <v>05/2018</v>
      </c>
      <c r="D162">
        <v>101377.25</v>
      </c>
      <c r="E162">
        <v>5.89</v>
      </c>
      <c r="F162">
        <v>4485019.4000000004</v>
      </c>
      <c r="G162">
        <v>10.199999999999999</v>
      </c>
      <c r="H162">
        <v>37000.137459999998</v>
      </c>
      <c r="I162">
        <v>5.9802480530000004</v>
      </c>
      <c r="J162" s="5">
        <v>314950.44</v>
      </c>
      <c r="K162" s="5">
        <v>5.76</v>
      </c>
      <c r="L162" s="5">
        <v>76877.460000000006</v>
      </c>
      <c r="M162" s="5">
        <v>7.56</v>
      </c>
      <c r="P162" t="s">
        <v>204</v>
      </c>
      <c r="Q162">
        <v>101377.25</v>
      </c>
      <c r="R162">
        <v>5.89</v>
      </c>
      <c r="S162">
        <v>4485019.4000000004</v>
      </c>
      <c r="T162">
        <v>10.199999999999999</v>
      </c>
      <c r="U162">
        <v>37000.137459999998</v>
      </c>
      <c r="V162">
        <v>5.9802480530000004</v>
      </c>
      <c r="W162" s="5">
        <v>314950.44</v>
      </c>
      <c r="X162" s="5">
        <v>5.76</v>
      </c>
      <c r="Y162" s="5">
        <v>76877.460000000006</v>
      </c>
      <c r="Z162" s="5">
        <v>7.56</v>
      </c>
    </row>
    <row r="163" spans="1:26" x14ac:dyDescent="0.2">
      <c r="A163">
        <v>2018</v>
      </c>
      <c r="B163">
        <v>6</v>
      </c>
      <c r="C163" t="str">
        <f t="shared" si="1"/>
        <v>06/2018</v>
      </c>
      <c r="D163">
        <v>1343678.41</v>
      </c>
      <c r="E163">
        <v>18.78</v>
      </c>
      <c r="F163">
        <v>3989645.7</v>
      </c>
      <c r="G163">
        <v>10.99</v>
      </c>
      <c r="H163">
        <v>23106.622220000001</v>
      </c>
      <c r="I163">
        <v>9.1573747989999994</v>
      </c>
      <c r="J163" s="5">
        <v>1264588</v>
      </c>
      <c r="K163" s="5">
        <v>6.9</v>
      </c>
      <c r="L163" s="5">
        <v>459461.37</v>
      </c>
      <c r="M163" s="5">
        <v>7.33</v>
      </c>
      <c r="P163" t="s">
        <v>205</v>
      </c>
      <c r="Q163">
        <v>1343678.41</v>
      </c>
      <c r="R163">
        <v>18.78</v>
      </c>
      <c r="S163">
        <v>3989645.7</v>
      </c>
      <c r="T163">
        <v>10.99</v>
      </c>
      <c r="U163">
        <v>23106.622220000001</v>
      </c>
      <c r="V163">
        <v>9.1573747989999994</v>
      </c>
      <c r="W163" s="5">
        <v>1264588</v>
      </c>
      <c r="X163" s="5">
        <v>6.9</v>
      </c>
      <c r="Y163" s="5">
        <v>459461.37</v>
      </c>
      <c r="Z163" s="5">
        <v>7.33</v>
      </c>
    </row>
    <row r="164" spans="1:26" x14ac:dyDescent="0.2">
      <c r="A164">
        <v>2018</v>
      </c>
      <c r="B164">
        <v>7</v>
      </c>
      <c r="C164" t="str">
        <f t="shared" si="1"/>
        <v>07/2018</v>
      </c>
      <c r="D164">
        <v>1481650.14</v>
      </c>
      <c r="E164">
        <v>17.55</v>
      </c>
      <c r="F164">
        <v>91264.65</v>
      </c>
      <c r="G164">
        <v>11.8</v>
      </c>
      <c r="H164">
        <v>160599.95310000001</v>
      </c>
      <c r="I164">
        <v>4.7231769699999999</v>
      </c>
      <c r="J164" s="5">
        <v>800485.9</v>
      </c>
      <c r="K164" s="5">
        <v>7.74</v>
      </c>
      <c r="L164" s="5">
        <v>762008.59</v>
      </c>
      <c r="M164" s="5">
        <v>7.1</v>
      </c>
      <c r="P164" t="s">
        <v>206</v>
      </c>
      <c r="Q164">
        <v>1481650.14</v>
      </c>
      <c r="R164">
        <v>17.55</v>
      </c>
      <c r="S164">
        <v>91264.65</v>
      </c>
      <c r="T164">
        <v>11.8</v>
      </c>
      <c r="U164">
        <v>160599.95310000001</v>
      </c>
      <c r="V164">
        <v>4.7231769699999999</v>
      </c>
      <c r="W164" s="5">
        <v>800485.9</v>
      </c>
      <c r="X164" s="5">
        <v>7.74</v>
      </c>
      <c r="Y164" s="5">
        <v>762008.59</v>
      </c>
      <c r="Z164" s="5">
        <v>7.1</v>
      </c>
    </row>
    <row r="165" spans="1:26" x14ac:dyDescent="0.2">
      <c r="A165">
        <v>2018</v>
      </c>
      <c r="B165">
        <v>8</v>
      </c>
      <c r="C165" t="str">
        <f t="shared" si="1"/>
        <v>08/2018</v>
      </c>
      <c r="D165">
        <v>36594.49</v>
      </c>
      <c r="E165">
        <v>4.66</v>
      </c>
      <c r="F165">
        <v>3734833.51</v>
      </c>
      <c r="G165">
        <v>11.34</v>
      </c>
      <c r="H165">
        <v>43704.386879999998</v>
      </c>
      <c r="I165">
        <v>8.8140122190000003</v>
      </c>
      <c r="J165" s="5">
        <v>527251.36</v>
      </c>
      <c r="K165" s="5">
        <v>7.14</v>
      </c>
      <c r="L165" s="5">
        <v>244512.69</v>
      </c>
      <c r="M165" s="5">
        <v>6.75</v>
      </c>
      <c r="P165" t="s">
        <v>207</v>
      </c>
      <c r="Q165">
        <v>36594.49</v>
      </c>
      <c r="R165">
        <v>4.66</v>
      </c>
      <c r="S165">
        <v>3734833.51</v>
      </c>
      <c r="T165">
        <v>11.34</v>
      </c>
      <c r="U165">
        <v>43704.386879999998</v>
      </c>
      <c r="V165">
        <v>8.8140122190000003</v>
      </c>
      <c r="W165" s="5">
        <v>527251.36</v>
      </c>
      <c r="X165" s="5">
        <v>7.14</v>
      </c>
      <c r="Y165" s="5">
        <v>244512.69</v>
      </c>
      <c r="Z165" s="5">
        <v>6.75</v>
      </c>
    </row>
    <row r="166" spans="1:26" x14ac:dyDescent="0.2">
      <c r="A166">
        <v>2018</v>
      </c>
      <c r="B166">
        <v>9</v>
      </c>
      <c r="C166" t="str">
        <f t="shared" si="1"/>
        <v>09/2018</v>
      </c>
      <c r="D166">
        <v>409563.28</v>
      </c>
      <c r="E166">
        <v>3.93</v>
      </c>
      <c r="F166">
        <v>60591.78</v>
      </c>
      <c r="G166">
        <v>10.9</v>
      </c>
      <c r="H166">
        <v>357216.78320000001</v>
      </c>
      <c r="I166">
        <v>5.4981011310000003</v>
      </c>
      <c r="J166" s="5">
        <v>693603.5</v>
      </c>
      <c r="K166" s="5">
        <v>7.05</v>
      </c>
      <c r="L166" s="5">
        <v>352929.5</v>
      </c>
      <c r="M166" s="5">
        <v>7.6</v>
      </c>
      <c r="P166" t="s">
        <v>208</v>
      </c>
      <c r="Q166">
        <v>409563.28</v>
      </c>
      <c r="R166">
        <v>3.93</v>
      </c>
      <c r="S166">
        <v>60591.78</v>
      </c>
      <c r="T166">
        <v>10.9</v>
      </c>
      <c r="U166">
        <v>357216.78320000001</v>
      </c>
      <c r="V166">
        <v>5.4981011310000003</v>
      </c>
      <c r="W166" s="5">
        <v>693603.5</v>
      </c>
      <c r="X166" s="5">
        <v>7.05</v>
      </c>
      <c r="Y166" s="5">
        <v>352929.5</v>
      </c>
      <c r="Z166" s="5">
        <v>7.6</v>
      </c>
    </row>
    <row r="167" spans="1:26" x14ac:dyDescent="0.2">
      <c r="A167">
        <v>2018</v>
      </c>
      <c r="B167">
        <v>10</v>
      </c>
      <c r="C167" t="str">
        <f t="shared" si="1"/>
        <v>10/2018</v>
      </c>
      <c r="D167">
        <v>3797876.83</v>
      </c>
      <c r="E167">
        <v>15.93</v>
      </c>
      <c r="F167">
        <v>2832603.8</v>
      </c>
      <c r="G167">
        <v>11.2</v>
      </c>
      <c r="H167">
        <v>227776.92920000001</v>
      </c>
      <c r="I167">
        <v>6.2858868340000003</v>
      </c>
      <c r="J167" s="5">
        <v>692900.23</v>
      </c>
      <c r="K167" s="5">
        <v>7.94</v>
      </c>
      <c r="L167" s="5">
        <v>531290.23</v>
      </c>
      <c r="M167" s="5">
        <v>7.15</v>
      </c>
      <c r="P167" t="s">
        <v>209</v>
      </c>
      <c r="Q167">
        <v>3797876.83</v>
      </c>
      <c r="R167">
        <v>15.93</v>
      </c>
      <c r="S167">
        <v>2832603.8</v>
      </c>
      <c r="T167">
        <v>11.2</v>
      </c>
      <c r="U167">
        <v>227776.92920000001</v>
      </c>
      <c r="V167">
        <v>6.2858868340000003</v>
      </c>
      <c r="W167" s="5">
        <v>692900.23</v>
      </c>
      <c r="X167" s="5">
        <v>7.94</v>
      </c>
      <c r="Y167" s="5">
        <v>531290.23</v>
      </c>
      <c r="Z167" s="5">
        <v>7.15</v>
      </c>
    </row>
    <row r="168" spans="1:26" x14ac:dyDescent="0.2">
      <c r="A168">
        <v>2018</v>
      </c>
      <c r="B168">
        <v>11</v>
      </c>
      <c r="C168" t="str">
        <f t="shared" si="1"/>
        <v>11/2018</v>
      </c>
      <c r="D168">
        <v>4269755.9000000004</v>
      </c>
      <c r="E168">
        <v>14.61</v>
      </c>
      <c r="F168">
        <v>128293.45</v>
      </c>
      <c r="G168">
        <v>10.84</v>
      </c>
      <c r="H168">
        <v>89150.423559999996</v>
      </c>
      <c r="I168">
        <v>6.3287865329999997</v>
      </c>
      <c r="J168" s="5">
        <v>523071.39</v>
      </c>
      <c r="K168" s="5">
        <v>6.17</v>
      </c>
      <c r="L168" s="5">
        <v>170723.91</v>
      </c>
      <c r="M168" s="5">
        <v>7.24</v>
      </c>
      <c r="P168" t="s">
        <v>210</v>
      </c>
      <c r="Q168">
        <v>4269755.9000000004</v>
      </c>
      <c r="R168">
        <v>14.61</v>
      </c>
      <c r="S168">
        <v>128293.45</v>
      </c>
      <c r="T168">
        <v>10.84</v>
      </c>
      <c r="U168">
        <v>89150.423559999996</v>
      </c>
      <c r="V168">
        <v>6.3287865329999997</v>
      </c>
      <c r="W168" s="5">
        <v>523071.39</v>
      </c>
      <c r="X168" s="5">
        <v>6.17</v>
      </c>
      <c r="Y168" s="5">
        <v>170723.91</v>
      </c>
      <c r="Z168" s="5">
        <v>7.24</v>
      </c>
    </row>
    <row r="169" spans="1:26" x14ac:dyDescent="0.2">
      <c r="A169">
        <v>2018</v>
      </c>
      <c r="B169">
        <v>12</v>
      </c>
      <c r="C169" t="str">
        <f t="shared" si="1"/>
        <v>12/2018</v>
      </c>
      <c r="D169">
        <v>62315.79</v>
      </c>
      <c r="E169">
        <v>4.17</v>
      </c>
      <c r="F169">
        <v>4109546.16</v>
      </c>
      <c r="G169">
        <v>10.94</v>
      </c>
      <c r="H169">
        <v>114600.55680000001</v>
      </c>
      <c r="I169">
        <v>5.0741376479999998</v>
      </c>
      <c r="J169" s="5">
        <v>236351.17</v>
      </c>
      <c r="K169" s="5">
        <v>11.98</v>
      </c>
      <c r="L169" s="5">
        <v>23876.080000000002</v>
      </c>
      <c r="M169" s="5">
        <v>7.16</v>
      </c>
      <c r="P169" t="s">
        <v>211</v>
      </c>
      <c r="Q169">
        <v>62315.79</v>
      </c>
      <c r="R169">
        <v>4.17</v>
      </c>
      <c r="S169">
        <v>4109546.16</v>
      </c>
      <c r="T169">
        <v>10.94</v>
      </c>
      <c r="U169">
        <v>114600.55680000001</v>
      </c>
      <c r="V169">
        <v>5.0741376479999998</v>
      </c>
      <c r="W169" s="5">
        <v>236351.17</v>
      </c>
      <c r="X169" s="5">
        <v>11.98</v>
      </c>
      <c r="Y169" s="5">
        <v>23876.080000000002</v>
      </c>
      <c r="Z169" s="5">
        <v>7.16</v>
      </c>
    </row>
    <row r="170" spans="1:26" x14ac:dyDescent="0.2">
      <c r="A170">
        <v>2019</v>
      </c>
      <c r="B170">
        <v>1</v>
      </c>
      <c r="C170" t="str">
        <f t="shared" si="1"/>
        <v>01/2019</v>
      </c>
      <c r="D170">
        <v>201658.8</v>
      </c>
      <c r="E170">
        <v>7.28</v>
      </c>
      <c r="F170">
        <v>1199752</v>
      </c>
      <c r="G170">
        <v>11.33</v>
      </c>
      <c r="H170">
        <v>86853.209520000004</v>
      </c>
      <c r="I170">
        <v>5.4232768440000001</v>
      </c>
      <c r="J170" s="5">
        <v>179008.89</v>
      </c>
      <c r="K170" s="5">
        <v>8</v>
      </c>
      <c r="L170" s="5">
        <v>25785.29</v>
      </c>
      <c r="M170" s="5">
        <v>7.23</v>
      </c>
      <c r="P170" t="s">
        <v>212</v>
      </c>
      <c r="Q170">
        <v>201658.8</v>
      </c>
      <c r="R170">
        <v>7.28</v>
      </c>
      <c r="S170">
        <v>1199752</v>
      </c>
      <c r="T170">
        <v>11.33</v>
      </c>
      <c r="U170">
        <v>86853.209520000004</v>
      </c>
      <c r="V170">
        <v>5.4232768440000001</v>
      </c>
      <c r="W170" s="5">
        <v>179008.89</v>
      </c>
      <c r="X170" s="5">
        <v>8</v>
      </c>
      <c r="Y170" s="5">
        <v>25785.29</v>
      </c>
      <c r="Z170" s="5">
        <v>7.23</v>
      </c>
    </row>
    <row r="171" spans="1:26" x14ac:dyDescent="0.2">
      <c r="A171">
        <v>2019</v>
      </c>
      <c r="B171">
        <v>2</v>
      </c>
      <c r="C171" t="str">
        <f t="shared" si="1"/>
        <v>02/2019</v>
      </c>
      <c r="D171">
        <v>1639831.63</v>
      </c>
      <c r="E171">
        <v>19.739999999999998</v>
      </c>
      <c r="F171">
        <v>533548.9</v>
      </c>
      <c r="G171">
        <v>10.08</v>
      </c>
      <c r="H171">
        <v>69339.708240000007</v>
      </c>
      <c r="I171">
        <v>5.5583447030000004</v>
      </c>
      <c r="J171" s="5">
        <v>39487.03</v>
      </c>
      <c r="K171" s="5">
        <v>9.5500000000000007</v>
      </c>
      <c r="L171" s="5">
        <v>0</v>
      </c>
      <c r="M171" s="5">
        <v>0</v>
      </c>
      <c r="P171" t="s">
        <v>213</v>
      </c>
      <c r="Q171">
        <v>1639831.63</v>
      </c>
      <c r="R171">
        <v>19.739999999999998</v>
      </c>
      <c r="S171">
        <v>533548.9</v>
      </c>
      <c r="T171">
        <v>10.08</v>
      </c>
      <c r="U171">
        <v>69339.708240000007</v>
      </c>
      <c r="V171">
        <v>5.5583447030000004</v>
      </c>
      <c r="W171" s="5">
        <v>39487.03</v>
      </c>
      <c r="X171" s="5">
        <v>9.5500000000000007</v>
      </c>
      <c r="Y171" s="5">
        <v>0</v>
      </c>
      <c r="Z171" s="5">
        <v>0</v>
      </c>
    </row>
    <row r="172" spans="1:26" x14ac:dyDescent="0.2">
      <c r="A172">
        <v>2019</v>
      </c>
      <c r="B172">
        <v>3</v>
      </c>
      <c r="C172" t="str">
        <f t="shared" si="1"/>
        <v>03/2019</v>
      </c>
      <c r="D172">
        <v>1982570.67</v>
      </c>
      <c r="E172">
        <v>17.350000000000001</v>
      </c>
      <c r="F172">
        <v>1499.14</v>
      </c>
      <c r="G172">
        <v>5.98</v>
      </c>
      <c r="H172">
        <v>69998.889620000002</v>
      </c>
      <c r="I172">
        <v>5.9897378699999999</v>
      </c>
      <c r="J172" s="5">
        <v>72404.28</v>
      </c>
      <c r="K172" s="5">
        <v>15.05</v>
      </c>
      <c r="L172" s="5">
        <v>16049.67</v>
      </c>
      <c r="M172" s="5">
        <v>9.35</v>
      </c>
      <c r="P172" t="s">
        <v>214</v>
      </c>
      <c r="Q172">
        <v>1982570.67</v>
      </c>
      <c r="R172">
        <v>17.350000000000001</v>
      </c>
      <c r="S172">
        <v>1499.14</v>
      </c>
      <c r="T172">
        <v>5.98</v>
      </c>
      <c r="U172">
        <v>69998.889620000002</v>
      </c>
      <c r="V172">
        <v>5.9897378699999999</v>
      </c>
      <c r="W172" s="5">
        <v>72404.28</v>
      </c>
      <c r="X172" s="5">
        <v>15.05</v>
      </c>
      <c r="Y172" s="5">
        <v>16049.67</v>
      </c>
      <c r="Z172" s="5">
        <v>9.35</v>
      </c>
    </row>
    <row r="173" spans="1:26" x14ac:dyDescent="0.2">
      <c r="A173">
        <v>2019</v>
      </c>
      <c r="B173">
        <v>4</v>
      </c>
      <c r="C173" t="str">
        <f t="shared" si="1"/>
        <v>04/2019</v>
      </c>
      <c r="D173">
        <v>141080.25</v>
      </c>
      <c r="E173">
        <v>3.85</v>
      </c>
      <c r="F173">
        <v>484579.89</v>
      </c>
      <c r="G173">
        <v>10</v>
      </c>
      <c r="H173">
        <v>135440.8297</v>
      </c>
      <c r="I173">
        <v>4.2473085939999997</v>
      </c>
      <c r="J173" s="5">
        <v>67675.360000000001</v>
      </c>
      <c r="K173" s="5">
        <v>7.9</v>
      </c>
      <c r="L173" s="5">
        <v>20908.66</v>
      </c>
      <c r="M173" s="5">
        <v>6.95</v>
      </c>
      <c r="P173" t="s">
        <v>215</v>
      </c>
      <c r="Q173">
        <v>141080.25</v>
      </c>
      <c r="R173">
        <v>3.85</v>
      </c>
      <c r="S173">
        <v>484579.89</v>
      </c>
      <c r="T173">
        <v>10</v>
      </c>
      <c r="U173">
        <v>135440.8297</v>
      </c>
      <c r="V173">
        <v>4.2473085939999997</v>
      </c>
      <c r="W173" s="5">
        <v>67675.360000000001</v>
      </c>
      <c r="X173" s="5">
        <v>7.9</v>
      </c>
      <c r="Y173" s="5">
        <v>20908.66</v>
      </c>
      <c r="Z173" s="5">
        <v>6.95</v>
      </c>
    </row>
    <row r="174" spans="1:26" x14ac:dyDescent="0.2">
      <c r="A174">
        <v>2019</v>
      </c>
      <c r="B174">
        <v>5</v>
      </c>
      <c r="C174" t="str">
        <f t="shared" si="1"/>
        <v>05/2019</v>
      </c>
      <c r="D174">
        <v>171413.61</v>
      </c>
      <c r="E174">
        <v>6.62</v>
      </c>
      <c r="F174">
        <v>384886.97</v>
      </c>
      <c r="G174">
        <v>8.19</v>
      </c>
      <c r="H174">
        <v>861609.58840000001</v>
      </c>
      <c r="I174">
        <v>6.9167521809999997</v>
      </c>
      <c r="J174" s="5">
        <v>143997.25</v>
      </c>
      <c r="K174" s="5">
        <v>9.23</v>
      </c>
      <c r="L174" s="5">
        <v>0</v>
      </c>
      <c r="M174" s="5">
        <v>0</v>
      </c>
      <c r="P174" t="s">
        <v>216</v>
      </c>
      <c r="Q174">
        <v>171413.61</v>
      </c>
      <c r="R174">
        <v>6.62</v>
      </c>
      <c r="S174">
        <v>384886.97</v>
      </c>
      <c r="T174">
        <v>8.19</v>
      </c>
      <c r="U174">
        <v>861609.58840000001</v>
      </c>
      <c r="V174">
        <v>6.9167521809999997</v>
      </c>
      <c r="W174" s="5">
        <v>143997.25</v>
      </c>
      <c r="X174" s="5">
        <v>9.23</v>
      </c>
      <c r="Y174" s="5">
        <v>0</v>
      </c>
      <c r="Z174" s="5">
        <v>0</v>
      </c>
    </row>
    <row r="175" spans="1:26" x14ac:dyDescent="0.2">
      <c r="A175">
        <v>2019</v>
      </c>
      <c r="B175">
        <v>6</v>
      </c>
      <c r="C175" t="str">
        <f t="shared" si="1"/>
        <v>06/2019</v>
      </c>
      <c r="D175">
        <v>2135284.7000000002</v>
      </c>
      <c r="E175">
        <v>18.2</v>
      </c>
      <c r="F175">
        <v>2502761.79</v>
      </c>
      <c r="G175">
        <v>10.49</v>
      </c>
      <c r="H175">
        <v>164072.22959999999</v>
      </c>
      <c r="I175">
        <v>6.4988755400000002</v>
      </c>
      <c r="J175" s="5">
        <v>1696663.52</v>
      </c>
      <c r="K175" s="5">
        <v>7.01</v>
      </c>
      <c r="L175" s="5">
        <v>523212.49</v>
      </c>
      <c r="M175" s="5">
        <v>7.13</v>
      </c>
      <c r="P175" t="s">
        <v>217</v>
      </c>
      <c r="Q175">
        <v>2135284.7000000002</v>
      </c>
      <c r="R175">
        <v>18.2</v>
      </c>
      <c r="S175">
        <v>2502761.79</v>
      </c>
      <c r="T175">
        <v>10.49</v>
      </c>
      <c r="U175">
        <v>164072.22959999999</v>
      </c>
      <c r="V175">
        <v>6.4988755400000002</v>
      </c>
      <c r="W175" s="5">
        <v>1696663.52</v>
      </c>
      <c r="X175" s="5">
        <v>7.01</v>
      </c>
      <c r="Y175" s="5">
        <v>523212.49</v>
      </c>
      <c r="Z175" s="5">
        <v>7.13</v>
      </c>
    </row>
    <row r="176" spans="1:26" x14ac:dyDescent="0.2">
      <c r="A176">
        <v>2019</v>
      </c>
      <c r="B176">
        <v>7</v>
      </c>
      <c r="C176" t="str">
        <f t="shared" si="1"/>
        <v>07/2019</v>
      </c>
      <c r="D176">
        <v>61927.78</v>
      </c>
      <c r="E176">
        <v>10.19</v>
      </c>
      <c r="F176">
        <v>130460.59</v>
      </c>
      <c r="G176">
        <v>8.4600000000000009</v>
      </c>
      <c r="H176">
        <v>35031.411800000002</v>
      </c>
      <c r="I176">
        <v>5.7647120010000004</v>
      </c>
      <c r="J176" s="5">
        <v>1408871.85</v>
      </c>
      <c r="K176" s="5">
        <v>6.1</v>
      </c>
      <c r="L176" s="5">
        <v>512606.04</v>
      </c>
      <c r="M176" s="5">
        <v>7.32</v>
      </c>
      <c r="P176" t="s">
        <v>218</v>
      </c>
      <c r="Q176">
        <v>61927.78</v>
      </c>
      <c r="R176">
        <v>10.19</v>
      </c>
      <c r="S176">
        <v>130460.59</v>
      </c>
      <c r="T176">
        <v>8.4600000000000009</v>
      </c>
      <c r="U176">
        <v>35031.411800000002</v>
      </c>
      <c r="V176">
        <v>5.7647120010000004</v>
      </c>
      <c r="W176" s="5">
        <v>1408871.85</v>
      </c>
      <c r="X176" s="5">
        <v>6.1</v>
      </c>
      <c r="Y176" s="5">
        <v>512606.04</v>
      </c>
      <c r="Z176" s="5">
        <v>7.32</v>
      </c>
    </row>
    <row r="177" spans="1:26" x14ac:dyDescent="0.2">
      <c r="A177">
        <v>2019</v>
      </c>
      <c r="B177">
        <v>8</v>
      </c>
      <c r="C177" t="str">
        <f t="shared" si="1"/>
        <v>08/2019</v>
      </c>
      <c r="D177">
        <v>2368626.09</v>
      </c>
      <c r="E177">
        <v>17.149999999999999</v>
      </c>
      <c r="F177">
        <v>5401129.4000000004</v>
      </c>
      <c r="G177">
        <v>10.45</v>
      </c>
      <c r="H177">
        <v>177496.16080000001</v>
      </c>
      <c r="I177">
        <v>6.2344390709999997</v>
      </c>
      <c r="J177" s="5">
        <v>780913.24</v>
      </c>
      <c r="K177" s="5">
        <v>7.98</v>
      </c>
      <c r="L177" s="5">
        <v>662857.81000000006</v>
      </c>
      <c r="M177" s="5">
        <v>7.24</v>
      </c>
      <c r="P177" t="s">
        <v>219</v>
      </c>
      <c r="Q177">
        <v>2368626.09</v>
      </c>
      <c r="R177">
        <v>17.149999999999999</v>
      </c>
      <c r="S177">
        <v>5401129.4000000004</v>
      </c>
      <c r="T177">
        <v>10.45</v>
      </c>
      <c r="U177">
        <v>177496.16080000001</v>
      </c>
      <c r="V177">
        <v>6.2344390709999997</v>
      </c>
      <c r="W177" s="5">
        <v>780913.24</v>
      </c>
      <c r="X177" s="5">
        <v>7.98</v>
      </c>
      <c r="Y177" s="5">
        <v>662857.81000000006</v>
      </c>
      <c r="Z177" s="5">
        <v>7.24</v>
      </c>
    </row>
    <row r="178" spans="1:26" x14ac:dyDescent="0.2">
      <c r="A178">
        <v>2019</v>
      </c>
      <c r="B178">
        <v>9</v>
      </c>
      <c r="C178" t="str">
        <f t="shared" si="1"/>
        <v>09/2019</v>
      </c>
      <c r="D178">
        <v>103782.49</v>
      </c>
      <c r="E178">
        <v>7.7</v>
      </c>
      <c r="F178">
        <v>196552.9</v>
      </c>
      <c r="G178">
        <v>10.92</v>
      </c>
      <c r="H178">
        <v>261295.97159999999</v>
      </c>
      <c r="I178">
        <v>6.6673588160000001</v>
      </c>
      <c r="J178" s="5">
        <v>871979.66</v>
      </c>
      <c r="K178" s="5">
        <v>7.8</v>
      </c>
      <c r="L178" s="5">
        <v>466233.97</v>
      </c>
      <c r="M178" s="5">
        <v>7.24</v>
      </c>
      <c r="P178" t="s">
        <v>220</v>
      </c>
      <c r="Q178">
        <v>103782.49</v>
      </c>
      <c r="R178">
        <v>7.7</v>
      </c>
      <c r="S178">
        <v>196552.9</v>
      </c>
      <c r="T178">
        <v>10.92</v>
      </c>
      <c r="U178">
        <v>261295.97159999999</v>
      </c>
      <c r="V178">
        <v>6.6673588160000001</v>
      </c>
      <c r="W178" s="5">
        <v>871979.66</v>
      </c>
      <c r="X178" s="5">
        <v>7.8</v>
      </c>
      <c r="Y178" s="5">
        <v>466233.97</v>
      </c>
      <c r="Z178" s="5">
        <v>7.24</v>
      </c>
    </row>
    <row r="179" spans="1:26" x14ac:dyDescent="0.2">
      <c r="A179">
        <v>2019</v>
      </c>
      <c r="B179">
        <v>10</v>
      </c>
      <c r="C179" t="str">
        <f t="shared" si="1"/>
        <v>10/2019</v>
      </c>
      <c r="D179">
        <v>1420573.35</v>
      </c>
      <c r="E179">
        <v>18.75</v>
      </c>
      <c r="F179">
        <v>3298492.92</v>
      </c>
      <c r="G179">
        <v>11.43</v>
      </c>
      <c r="H179">
        <v>70391.311979999999</v>
      </c>
      <c r="I179">
        <v>6.4784557520000003</v>
      </c>
      <c r="J179" s="5">
        <v>817869.36</v>
      </c>
      <c r="K179" s="5">
        <v>7.31</v>
      </c>
      <c r="L179" s="5">
        <v>156958.24</v>
      </c>
      <c r="M179" s="5">
        <v>6.21</v>
      </c>
      <c r="P179" t="s">
        <v>221</v>
      </c>
      <c r="Q179">
        <v>1420573.35</v>
      </c>
      <c r="R179">
        <v>18.75</v>
      </c>
      <c r="S179">
        <v>3298492.92</v>
      </c>
      <c r="T179">
        <v>11.43</v>
      </c>
      <c r="U179">
        <v>70391.311979999999</v>
      </c>
      <c r="V179">
        <v>6.4784557520000003</v>
      </c>
      <c r="W179" s="5">
        <v>817869.36</v>
      </c>
      <c r="X179" s="5">
        <v>7.31</v>
      </c>
      <c r="Y179" s="5">
        <v>156958.24</v>
      </c>
      <c r="Z179" s="5">
        <v>6.21</v>
      </c>
    </row>
    <row r="180" spans="1:26" x14ac:dyDescent="0.2">
      <c r="A180">
        <v>2019</v>
      </c>
      <c r="B180">
        <v>11</v>
      </c>
      <c r="C180" t="str">
        <f t="shared" si="1"/>
        <v>11/2019</v>
      </c>
      <c r="D180">
        <v>3430.39</v>
      </c>
      <c r="E180">
        <v>5.35</v>
      </c>
      <c r="F180">
        <v>63457.78</v>
      </c>
      <c r="G180">
        <v>13.24</v>
      </c>
      <c r="H180">
        <v>70062.823600000003</v>
      </c>
      <c r="I180">
        <v>6.5938821230000002</v>
      </c>
      <c r="J180" s="5">
        <v>615447.36</v>
      </c>
      <c r="K180" s="5">
        <v>8.3000000000000007</v>
      </c>
      <c r="L180" s="5">
        <v>173744.25</v>
      </c>
      <c r="M180" s="5">
        <v>7.2</v>
      </c>
      <c r="P180" t="s">
        <v>222</v>
      </c>
      <c r="Q180">
        <v>3430.39</v>
      </c>
      <c r="R180">
        <v>5.35</v>
      </c>
      <c r="S180">
        <v>63457.78</v>
      </c>
      <c r="T180">
        <v>13.24</v>
      </c>
      <c r="U180">
        <v>70062.823600000003</v>
      </c>
      <c r="V180">
        <v>6.5938821230000002</v>
      </c>
      <c r="W180" s="5">
        <v>615447.36</v>
      </c>
      <c r="X180" s="5">
        <v>8.3000000000000007</v>
      </c>
      <c r="Y180" s="5">
        <v>173744.25</v>
      </c>
      <c r="Z180" s="5">
        <v>7.2</v>
      </c>
    </row>
    <row r="181" spans="1:26" x14ac:dyDescent="0.2">
      <c r="A181">
        <v>2019</v>
      </c>
      <c r="B181">
        <v>12</v>
      </c>
      <c r="C181" t="str">
        <f t="shared" si="1"/>
        <v>12/2019</v>
      </c>
      <c r="D181">
        <v>1527786.23</v>
      </c>
      <c r="E181">
        <v>17.97</v>
      </c>
      <c r="F181">
        <v>5439893.2400000002</v>
      </c>
      <c r="G181">
        <v>10.52</v>
      </c>
      <c r="H181">
        <v>95863.491460000005</v>
      </c>
      <c r="I181">
        <v>7.824386412</v>
      </c>
      <c r="J181" s="5">
        <v>276587.77</v>
      </c>
      <c r="K181" s="5">
        <v>7.47</v>
      </c>
      <c r="L181" s="5">
        <v>54597.52</v>
      </c>
      <c r="M181" s="5">
        <v>5.14</v>
      </c>
      <c r="P181" t="s">
        <v>223</v>
      </c>
      <c r="Q181">
        <v>1527786.23</v>
      </c>
      <c r="R181">
        <v>17.97</v>
      </c>
      <c r="S181">
        <v>5439893.2400000002</v>
      </c>
      <c r="T181">
        <v>10.52</v>
      </c>
      <c r="U181">
        <v>95863.491460000005</v>
      </c>
      <c r="V181">
        <v>7.824386412</v>
      </c>
      <c r="W181" s="5">
        <v>276587.77</v>
      </c>
      <c r="X181" s="5">
        <v>7.47</v>
      </c>
      <c r="Y181" s="5">
        <v>54597.52</v>
      </c>
      <c r="Z181" s="5">
        <v>5.14</v>
      </c>
    </row>
    <row r="182" spans="1:26" x14ac:dyDescent="0.2">
      <c r="A182">
        <v>2020</v>
      </c>
      <c r="B182">
        <v>1</v>
      </c>
      <c r="C182" t="str">
        <f t="shared" si="1"/>
        <v>01/2020</v>
      </c>
      <c r="D182">
        <v>93398.73</v>
      </c>
      <c r="E182">
        <v>6.63</v>
      </c>
      <c r="F182">
        <v>170624.36</v>
      </c>
      <c r="G182">
        <v>10.98</v>
      </c>
      <c r="H182">
        <v>33265.511180000001</v>
      </c>
      <c r="I182">
        <v>7.0167266850000001</v>
      </c>
      <c r="J182" s="5">
        <v>102041.04</v>
      </c>
      <c r="K182" s="5">
        <v>8.35</v>
      </c>
      <c r="L182" s="5">
        <v>0</v>
      </c>
      <c r="M182" s="5">
        <v>0</v>
      </c>
      <c r="P182" t="s">
        <v>224</v>
      </c>
      <c r="Q182">
        <v>93398.73</v>
      </c>
      <c r="R182">
        <v>6.63</v>
      </c>
      <c r="S182">
        <v>170624.36</v>
      </c>
      <c r="T182">
        <v>10.98</v>
      </c>
      <c r="U182">
        <v>33265.511180000001</v>
      </c>
      <c r="V182">
        <v>7.0167266850000001</v>
      </c>
      <c r="W182" s="5">
        <v>102041.04</v>
      </c>
      <c r="X182" s="5">
        <v>8.35</v>
      </c>
      <c r="Y182" s="5">
        <v>0</v>
      </c>
      <c r="Z182" s="5">
        <v>0</v>
      </c>
    </row>
    <row r="183" spans="1:26" x14ac:dyDescent="0.2">
      <c r="A183">
        <v>2020</v>
      </c>
      <c r="B183">
        <v>2</v>
      </c>
      <c r="C183" t="str">
        <f t="shared" si="1"/>
        <v>02/2020</v>
      </c>
      <c r="D183">
        <v>1525890.25</v>
      </c>
      <c r="E183">
        <v>17.07</v>
      </c>
      <c r="F183">
        <v>4037413.2</v>
      </c>
      <c r="G183">
        <v>10.94</v>
      </c>
      <c r="H183">
        <v>101610.93580000001</v>
      </c>
      <c r="I183">
        <v>5.2272031139999999</v>
      </c>
      <c r="J183" s="5">
        <v>162729.94</v>
      </c>
      <c r="K183" s="5">
        <v>8.7899999999999991</v>
      </c>
      <c r="L183" s="5">
        <v>33739.57</v>
      </c>
      <c r="M183" s="5">
        <v>6.6</v>
      </c>
      <c r="P183" t="s">
        <v>225</v>
      </c>
      <c r="Q183">
        <v>1525890.25</v>
      </c>
      <c r="R183">
        <v>17.07</v>
      </c>
      <c r="S183">
        <v>4037413.2</v>
      </c>
      <c r="T183">
        <v>10.94</v>
      </c>
      <c r="U183">
        <v>101610.93580000001</v>
      </c>
      <c r="V183">
        <v>5.2272031139999999</v>
      </c>
      <c r="W183" s="5">
        <v>162729.94</v>
      </c>
      <c r="X183" s="5">
        <v>8.7899999999999991</v>
      </c>
      <c r="Y183" s="5">
        <v>33739.57</v>
      </c>
      <c r="Z183" s="5">
        <v>6.6</v>
      </c>
    </row>
    <row r="184" spans="1:26" x14ac:dyDescent="0.2">
      <c r="A184">
        <v>2020</v>
      </c>
      <c r="B184">
        <v>3</v>
      </c>
      <c r="C184" t="str">
        <f t="shared" si="1"/>
        <v>03/2020</v>
      </c>
      <c r="D184">
        <v>57507.51</v>
      </c>
      <c r="E184">
        <v>8.7899999999999991</v>
      </c>
      <c r="F184">
        <v>82651.199999999997</v>
      </c>
      <c r="G184">
        <v>11.89</v>
      </c>
      <c r="J184" s="5">
        <v>151506.20000000001</v>
      </c>
      <c r="K184" s="5">
        <v>9.14</v>
      </c>
      <c r="L184" s="5">
        <v>0</v>
      </c>
      <c r="M184" s="5">
        <v>0</v>
      </c>
      <c r="P184" t="s">
        <v>226</v>
      </c>
      <c r="Q184">
        <v>57507.51</v>
      </c>
      <c r="R184">
        <v>8.7899999999999991</v>
      </c>
      <c r="S184">
        <v>82651.199999999997</v>
      </c>
      <c r="T184">
        <v>11.89</v>
      </c>
      <c r="W184" s="5">
        <v>151506.20000000001</v>
      </c>
      <c r="X184" s="5">
        <v>9.14</v>
      </c>
      <c r="Y184" s="5">
        <v>0</v>
      </c>
      <c r="Z184" s="5">
        <v>0</v>
      </c>
    </row>
    <row r="185" spans="1:26" x14ac:dyDescent="0.2">
      <c r="A185">
        <v>2020</v>
      </c>
      <c r="B185">
        <v>4</v>
      </c>
      <c r="C185" t="str">
        <f t="shared" si="1"/>
        <v>04/2020</v>
      </c>
      <c r="D185">
        <v>1676796.49</v>
      </c>
      <c r="E185">
        <v>16.2</v>
      </c>
      <c r="F185">
        <v>4104870.16</v>
      </c>
      <c r="G185">
        <v>12.57</v>
      </c>
      <c r="H185">
        <v>18177.091899999999</v>
      </c>
      <c r="I185">
        <v>4.8008779669999999</v>
      </c>
      <c r="J185" s="5">
        <v>9279.26</v>
      </c>
      <c r="K185" s="5">
        <v>6.45</v>
      </c>
      <c r="L185" s="5">
        <v>0</v>
      </c>
      <c r="M185" s="5">
        <v>0</v>
      </c>
      <c r="P185" t="s">
        <v>227</v>
      </c>
      <c r="Q185">
        <v>1676796.49</v>
      </c>
      <c r="R185">
        <v>16.2</v>
      </c>
      <c r="S185">
        <v>4104870.16</v>
      </c>
      <c r="T185">
        <v>12.57</v>
      </c>
      <c r="U185">
        <v>18177.091899999999</v>
      </c>
      <c r="V185">
        <v>4.8008779669999999</v>
      </c>
      <c r="W185" s="5">
        <v>9279.26</v>
      </c>
      <c r="X185" s="5">
        <v>6.45</v>
      </c>
      <c r="Y185" s="5">
        <v>0</v>
      </c>
      <c r="Z185" s="5">
        <v>0</v>
      </c>
    </row>
    <row r="186" spans="1:26" x14ac:dyDescent="0.2">
      <c r="A186">
        <v>2020</v>
      </c>
      <c r="B186">
        <v>5</v>
      </c>
      <c r="C186" t="str">
        <f t="shared" si="1"/>
        <v>05/2020</v>
      </c>
      <c r="D186">
        <v>121778.8</v>
      </c>
      <c r="E186">
        <v>6.13</v>
      </c>
      <c r="F186">
        <v>108967.75</v>
      </c>
      <c r="G186">
        <v>12.02</v>
      </c>
      <c r="H186">
        <v>381165.57030000002</v>
      </c>
      <c r="I186">
        <v>5.059562433</v>
      </c>
      <c r="J186" s="5">
        <v>135487.4</v>
      </c>
      <c r="K186" s="5">
        <v>3.84</v>
      </c>
      <c r="L186" s="5">
        <v>83414.17</v>
      </c>
      <c r="M186" s="5">
        <v>7.07</v>
      </c>
      <c r="P186" t="s">
        <v>228</v>
      </c>
      <c r="Q186">
        <v>121778.8</v>
      </c>
      <c r="R186">
        <v>6.13</v>
      </c>
      <c r="S186">
        <v>108967.75</v>
      </c>
      <c r="T186">
        <v>12.02</v>
      </c>
      <c r="U186">
        <v>381165.57030000002</v>
      </c>
      <c r="V186">
        <v>5.059562433</v>
      </c>
      <c r="W186" s="5">
        <v>135487.4</v>
      </c>
      <c r="X186" s="5">
        <v>3.84</v>
      </c>
      <c r="Y186" s="5">
        <v>83414.17</v>
      </c>
      <c r="Z186" s="5">
        <v>7.07</v>
      </c>
    </row>
    <row r="187" spans="1:26" x14ac:dyDescent="0.2">
      <c r="A187">
        <v>2020</v>
      </c>
      <c r="B187">
        <v>6</v>
      </c>
      <c r="C187" t="str">
        <f t="shared" si="1"/>
        <v>06/2020</v>
      </c>
      <c r="D187">
        <v>1266307.27</v>
      </c>
      <c r="E187">
        <v>16.16</v>
      </c>
      <c r="F187">
        <v>2628533.15</v>
      </c>
      <c r="G187">
        <v>11.95</v>
      </c>
      <c r="H187">
        <v>312985.49219999998</v>
      </c>
      <c r="I187">
        <v>5.3588298559999998</v>
      </c>
      <c r="J187" s="5">
        <v>1659231.2</v>
      </c>
      <c r="K187" s="5">
        <v>5.44</v>
      </c>
      <c r="L187" s="5">
        <v>459234.29</v>
      </c>
      <c r="M187" s="5">
        <v>5.77</v>
      </c>
      <c r="P187" t="s">
        <v>229</v>
      </c>
      <c r="Q187">
        <v>1266307.27</v>
      </c>
      <c r="R187">
        <v>16.16</v>
      </c>
      <c r="S187">
        <v>2628533.15</v>
      </c>
      <c r="T187">
        <v>11.95</v>
      </c>
      <c r="U187">
        <v>312985.49219999998</v>
      </c>
      <c r="V187">
        <v>5.3588298559999998</v>
      </c>
      <c r="W187" s="5">
        <v>1659231.2</v>
      </c>
      <c r="X187" s="5">
        <v>5.44</v>
      </c>
      <c r="Y187" s="5">
        <v>459234.29</v>
      </c>
      <c r="Z187" s="5">
        <v>5.77</v>
      </c>
    </row>
    <row r="188" spans="1:26" x14ac:dyDescent="0.2">
      <c r="A188">
        <v>2020</v>
      </c>
      <c r="B188">
        <v>7</v>
      </c>
      <c r="C188" t="str">
        <f t="shared" si="1"/>
        <v>07/2020</v>
      </c>
      <c r="D188">
        <v>35359.9</v>
      </c>
      <c r="E188">
        <v>7.36</v>
      </c>
      <c r="F188">
        <v>64961.33</v>
      </c>
      <c r="G188">
        <v>12.23</v>
      </c>
      <c r="H188">
        <v>332331.03269999998</v>
      </c>
      <c r="I188">
        <v>5.1356323430000002</v>
      </c>
      <c r="J188" s="5">
        <v>1276878.78</v>
      </c>
      <c r="K188" s="5">
        <v>5.36</v>
      </c>
      <c r="L188" s="5">
        <v>491840.69</v>
      </c>
      <c r="M188" s="5">
        <v>5.73</v>
      </c>
      <c r="P188" t="s">
        <v>230</v>
      </c>
      <c r="Q188">
        <v>35359.9</v>
      </c>
      <c r="R188">
        <v>7.36</v>
      </c>
      <c r="S188">
        <v>64961.33</v>
      </c>
      <c r="T188">
        <v>12.23</v>
      </c>
      <c r="U188">
        <v>332331.03269999998</v>
      </c>
      <c r="V188">
        <v>5.1356323430000002</v>
      </c>
      <c r="W188" s="5">
        <v>1276878.78</v>
      </c>
      <c r="X188" s="5">
        <v>5.36</v>
      </c>
      <c r="Y188" s="5">
        <v>491840.69</v>
      </c>
      <c r="Z188" s="5">
        <v>5.73</v>
      </c>
    </row>
    <row r="189" spans="1:26" x14ac:dyDescent="0.2">
      <c r="A189">
        <v>2020</v>
      </c>
      <c r="B189">
        <v>8</v>
      </c>
      <c r="C189" t="str">
        <f t="shared" si="1"/>
        <v>08/2020</v>
      </c>
      <c r="D189">
        <v>1423445.97</v>
      </c>
      <c r="E189">
        <v>15.08</v>
      </c>
      <c r="F189">
        <v>2770003.62</v>
      </c>
      <c r="G189">
        <v>13.58</v>
      </c>
      <c r="H189">
        <v>37983.397980000002</v>
      </c>
      <c r="I189">
        <v>4.9431333159999999</v>
      </c>
      <c r="J189" s="5">
        <v>688382.95</v>
      </c>
      <c r="K189" s="5">
        <v>5.21</v>
      </c>
      <c r="L189" s="5">
        <v>179202.9</v>
      </c>
      <c r="M189" s="5">
        <v>6.65</v>
      </c>
      <c r="P189" t="s">
        <v>231</v>
      </c>
      <c r="Q189">
        <v>1423445.97</v>
      </c>
      <c r="R189">
        <v>15.08</v>
      </c>
      <c r="S189">
        <v>2770003.62</v>
      </c>
      <c r="T189">
        <v>13.58</v>
      </c>
      <c r="U189">
        <v>37983.397980000002</v>
      </c>
      <c r="V189">
        <v>4.9431333159999999</v>
      </c>
      <c r="W189" s="5">
        <v>688382.95</v>
      </c>
      <c r="X189" s="5">
        <v>5.21</v>
      </c>
      <c r="Y189" s="5">
        <v>179202.9</v>
      </c>
      <c r="Z189" s="5">
        <v>6.65</v>
      </c>
    </row>
    <row r="190" spans="1:26" x14ac:dyDescent="0.2">
      <c r="A190">
        <v>2020</v>
      </c>
      <c r="B190">
        <v>9</v>
      </c>
      <c r="C190" t="str">
        <f t="shared" si="1"/>
        <v>09/2020</v>
      </c>
      <c r="D190">
        <v>164971.71</v>
      </c>
      <c r="E190">
        <v>4.57</v>
      </c>
      <c r="F190">
        <v>106919.66</v>
      </c>
      <c r="G190">
        <v>10.84</v>
      </c>
      <c r="H190">
        <v>114701.9694</v>
      </c>
      <c r="I190">
        <v>5.1185433280000003</v>
      </c>
      <c r="J190" s="5">
        <v>1126882.75</v>
      </c>
      <c r="K190" s="5">
        <v>6.54</v>
      </c>
      <c r="L190" s="5">
        <v>389213.21</v>
      </c>
      <c r="M190" s="5">
        <v>6.79</v>
      </c>
      <c r="P190" t="s">
        <v>232</v>
      </c>
      <c r="Q190">
        <v>164971.71</v>
      </c>
      <c r="R190">
        <v>4.57</v>
      </c>
      <c r="S190">
        <v>106919.66</v>
      </c>
      <c r="T190">
        <v>10.84</v>
      </c>
      <c r="U190">
        <v>114701.9694</v>
      </c>
      <c r="V190">
        <v>5.1185433280000003</v>
      </c>
      <c r="W190" s="5">
        <v>1126882.75</v>
      </c>
      <c r="X190" s="5">
        <v>6.54</v>
      </c>
      <c r="Y190" s="5">
        <v>389213.21</v>
      </c>
      <c r="Z190" s="5">
        <v>6.79</v>
      </c>
    </row>
    <row r="191" spans="1:26" x14ac:dyDescent="0.2">
      <c r="A191">
        <v>2020</v>
      </c>
      <c r="B191">
        <v>10</v>
      </c>
      <c r="C191" t="str">
        <f t="shared" si="1"/>
        <v>10/2020</v>
      </c>
      <c r="D191">
        <v>1492860.64</v>
      </c>
      <c r="E191">
        <v>16.260000000000002</v>
      </c>
      <c r="F191">
        <v>1580908.75</v>
      </c>
      <c r="G191">
        <v>13.72</v>
      </c>
      <c r="H191">
        <v>34530.963060000002</v>
      </c>
      <c r="I191">
        <v>5.2164198170000002</v>
      </c>
      <c r="J191" s="5">
        <v>678664.97</v>
      </c>
      <c r="K191" s="5">
        <v>9.52</v>
      </c>
      <c r="L191" s="5">
        <v>665986.17000000004</v>
      </c>
      <c r="M191" s="5">
        <v>6.18</v>
      </c>
      <c r="P191" t="s">
        <v>233</v>
      </c>
      <c r="Q191">
        <v>1492860.64</v>
      </c>
      <c r="R191">
        <v>16.260000000000002</v>
      </c>
      <c r="S191">
        <v>1580908.75</v>
      </c>
      <c r="T191">
        <v>13.72</v>
      </c>
      <c r="U191">
        <v>34530.963060000002</v>
      </c>
      <c r="V191">
        <v>5.2164198170000002</v>
      </c>
      <c r="W191" s="5">
        <v>678664.97</v>
      </c>
      <c r="X191" s="5">
        <v>9.52</v>
      </c>
      <c r="Y191" s="5">
        <v>665986.17000000004</v>
      </c>
      <c r="Z191" s="5">
        <v>6.18</v>
      </c>
    </row>
    <row r="192" spans="1:26" x14ac:dyDescent="0.2">
      <c r="A192">
        <v>2020</v>
      </c>
      <c r="B192">
        <v>11</v>
      </c>
      <c r="C192" t="str">
        <f t="shared" si="1"/>
        <v>11/2020</v>
      </c>
      <c r="D192">
        <v>118024.33</v>
      </c>
      <c r="E192">
        <v>3.6</v>
      </c>
      <c r="F192">
        <v>121778.8</v>
      </c>
      <c r="G192">
        <v>3.88</v>
      </c>
      <c r="H192">
        <v>194864.15719999999</v>
      </c>
      <c r="I192">
        <v>4.938958575</v>
      </c>
      <c r="J192" s="5">
        <v>328998.31</v>
      </c>
      <c r="K192" s="5">
        <v>8.2899999999999991</v>
      </c>
      <c r="L192" s="5">
        <v>384625.39</v>
      </c>
      <c r="M192" s="5">
        <v>6.01</v>
      </c>
      <c r="P192" t="s">
        <v>234</v>
      </c>
      <c r="Q192">
        <v>118024.33</v>
      </c>
      <c r="R192">
        <v>3.6</v>
      </c>
      <c r="S192">
        <v>121778.8</v>
      </c>
      <c r="T192">
        <v>3.88</v>
      </c>
      <c r="U192">
        <v>194864.15719999999</v>
      </c>
      <c r="V192">
        <v>4.938958575</v>
      </c>
      <c r="W192" s="5">
        <v>328998.31</v>
      </c>
      <c r="X192" s="5">
        <v>8.2899999999999991</v>
      </c>
      <c r="Y192" s="5">
        <v>384625.39</v>
      </c>
      <c r="Z192" s="5">
        <v>6.01</v>
      </c>
    </row>
    <row r="193" spans="1:26" x14ac:dyDescent="0.2">
      <c r="A193">
        <v>2020</v>
      </c>
      <c r="B193">
        <v>12</v>
      </c>
      <c r="C193" t="str">
        <f t="shared" si="1"/>
        <v>12/2020</v>
      </c>
      <c r="D193">
        <v>1775856.68</v>
      </c>
      <c r="E193">
        <v>14.33</v>
      </c>
      <c r="F193">
        <v>415343.79</v>
      </c>
      <c r="G193">
        <v>12.2</v>
      </c>
      <c r="H193">
        <v>60891.604399999997</v>
      </c>
      <c r="I193">
        <v>3.556647951</v>
      </c>
      <c r="J193" s="5">
        <v>107825.98</v>
      </c>
      <c r="K193" s="5">
        <v>7.33</v>
      </c>
      <c r="L193" s="5">
        <v>65342.86</v>
      </c>
      <c r="M193" s="5">
        <v>6.3</v>
      </c>
      <c r="P193" t="s">
        <v>235</v>
      </c>
      <c r="Q193">
        <v>1775856.68</v>
      </c>
      <c r="R193">
        <v>14.33</v>
      </c>
      <c r="S193">
        <v>415343.79</v>
      </c>
      <c r="T193">
        <v>12.2</v>
      </c>
      <c r="U193">
        <v>60891.604399999997</v>
      </c>
      <c r="V193">
        <v>3.556647951</v>
      </c>
      <c r="W193" s="5">
        <v>107825.98</v>
      </c>
      <c r="X193" s="5">
        <v>7.33</v>
      </c>
      <c r="Y193" s="5">
        <v>65342.86</v>
      </c>
      <c r="Z193" s="5">
        <v>6.3</v>
      </c>
    </row>
    <row r="194" spans="1:26" x14ac:dyDescent="0.2">
      <c r="A194">
        <v>2021</v>
      </c>
      <c r="B194">
        <v>1</v>
      </c>
      <c r="C194" t="str">
        <f t="shared" si="1"/>
        <v>01/2021</v>
      </c>
      <c r="D194">
        <v>72606.960000000006</v>
      </c>
      <c r="E194">
        <v>7.57</v>
      </c>
      <c r="F194">
        <v>271465.88</v>
      </c>
      <c r="G194">
        <v>11.17</v>
      </c>
      <c r="H194">
        <v>34630.170960000003</v>
      </c>
      <c r="I194">
        <v>5.6929548580000002</v>
      </c>
      <c r="J194" s="5">
        <v>88658.97</v>
      </c>
      <c r="K194" s="5">
        <v>8</v>
      </c>
      <c r="L194" s="5">
        <v>31446.76</v>
      </c>
      <c r="M194" s="5">
        <v>6.28</v>
      </c>
      <c r="P194" t="s">
        <v>236</v>
      </c>
      <c r="Q194">
        <v>72606.960000000006</v>
      </c>
      <c r="R194">
        <v>7.57</v>
      </c>
      <c r="S194">
        <v>271465.88</v>
      </c>
      <c r="T194">
        <v>11.17</v>
      </c>
      <c r="U194">
        <v>34630.170960000003</v>
      </c>
      <c r="V194">
        <v>5.6929548580000002</v>
      </c>
      <c r="W194" s="5">
        <v>88658.97</v>
      </c>
      <c r="X194" s="5">
        <v>8</v>
      </c>
      <c r="Y194" s="5">
        <v>31446.76</v>
      </c>
      <c r="Z194" s="5">
        <v>6.28</v>
      </c>
    </row>
    <row r="195" spans="1:26" x14ac:dyDescent="0.2">
      <c r="A195">
        <v>2021</v>
      </c>
      <c r="B195">
        <v>2</v>
      </c>
      <c r="C195" t="str">
        <f t="shared" si="1"/>
        <v>02/2021</v>
      </c>
      <c r="D195">
        <v>571133.27</v>
      </c>
      <c r="E195">
        <v>16.16</v>
      </c>
      <c r="F195">
        <v>342207.73</v>
      </c>
      <c r="G195">
        <v>12.63</v>
      </c>
      <c r="J195" s="5">
        <v>19475.650000000001</v>
      </c>
      <c r="K195" s="5">
        <v>14.11</v>
      </c>
      <c r="L195" s="5">
        <v>14810.67</v>
      </c>
      <c r="M195" s="5">
        <v>6.45</v>
      </c>
      <c r="P195" t="s">
        <v>237</v>
      </c>
      <c r="Q195">
        <v>571133.27</v>
      </c>
      <c r="R195">
        <v>16.16</v>
      </c>
      <c r="S195">
        <v>342207.73</v>
      </c>
      <c r="T195">
        <v>12.63</v>
      </c>
      <c r="W195" s="5">
        <v>19475.650000000001</v>
      </c>
      <c r="X195" s="5">
        <v>14.11</v>
      </c>
      <c r="Y195" s="5">
        <v>14810.67</v>
      </c>
      <c r="Z195" s="5">
        <v>6.45</v>
      </c>
    </row>
    <row r="196" spans="1:26" x14ac:dyDescent="0.2">
      <c r="A196">
        <v>2021</v>
      </c>
      <c r="B196">
        <v>3</v>
      </c>
      <c r="C196" t="str">
        <f t="shared" si="1"/>
        <v>03/2021</v>
      </c>
      <c r="D196">
        <v>698009.15</v>
      </c>
      <c r="E196">
        <v>14.31</v>
      </c>
      <c r="F196">
        <v>2236959.5699999998</v>
      </c>
      <c r="G196">
        <v>11.65</v>
      </c>
      <c r="H196">
        <v>69061.926120000004</v>
      </c>
      <c r="I196">
        <v>5.6468740720000001</v>
      </c>
      <c r="J196" s="5">
        <v>203575.02</v>
      </c>
      <c r="K196" s="5">
        <v>5.5</v>
      </c>
      <c r="L196" s="5">
        <v>0</v>
      </c>
      <c r="M196" s="5">
        <v>0</v>
      </c>
      <c r="P196" t="s">
        <v>238</v>
      </c>
      <c r="Q196">
        <v>698009.15</v>
      </c>
      <c r="R196">
        <v>14.31</v>
      </c>
      <c r="S196">
        <v>2236959.5699999998</v>
      </c>
      <c r="T196">
        <v>11.65</v>
      </c>
      <c r="U196">
        <v>69061.926120000004</v>
      </c>
      <c r="V196">
        <v>5.6468740720000001</v>
      </c>
      <c r="W196" s="5">
        <v>203575.02</v>
      </c>
      <c r="X196" s="5">
        <v>5.5</v>
      </c>
      <c r="Y196" s="5">
        <v>0</v>
      </c>
      <c r="Z196" s="5">
        <v>0</v>
      </c>
    </row>
    <row r="197" spans="1:26" x14ac:dyDescent="0.2">
      <c r="A197">
        <v>2021</v>
      </c>
      <c r="B197">
        <v>4</v>
      </c>
      <c r="C197" t="str">
        <f t="shared" si="1"/>
        <v>04/2021</v>
      </c>
      <c r="D197">
        <v>54268.93</v>
      </c>
      <c r="E197">
        <v>3.87</v>
      </c>
      <c r="F197">
        <v>19610.09</v>
      </c>
      <c r="G197">
        <v>9.2899999999999991</v>
      </c>
      <c r="J197" s="5">
        <v>49061.71</v>
      </c>
      <c r="K197" s="5">
        <v>6.95</v>
      </c>
      <c r="L197" s="5">
        <v>0</v>
      </c>
      <c r="M197" s="5">
        <v>0</v>
      </c>
      <c r="P197" t="s">
        <v>239</v>
      </c>
      <c r="Q197">
        <v>54268.93</v>
      </c>
      <c r="R197">
        <v>3.87</v>
      </c>
      <c r="S197">
        <v>19610.09</v>
      </c>
      <c r="T197">
        <v>9.2899999999999991</v>
      </c>
      <c r="W197" s="5">
        <v>49061.71</v>
      </c>
      <c r="X197" s="5">
        <v>6.95</v>
      </c>
      <c r="Y197" s="5">
        <v>0</v>
      </c>
      <c r="Z197" s="5">
        <v>0</v>
      </c>
    </row>
    <row r="198" spans="1:26" x14ac:dyDescent="0.2">
      <c r="A198">
        <v>2021</v>
      </c>
      <c r="B198">
        <v>5</v>
      </c>
      <c r="C198" t="str">
        <f t="shared" si="1"/>
        <v>05/2021</v>
      </c>
      <c r="D198">
        <v>20593.36</v>
      </c>
      <c r="E198">
        <v>23.45</v>
      </c>
      <c r="F198">
        <v>85742.080000000002</v>
      </c>
      <c r="G198">
        <v>8.6199999999999992</v>
      </c>
      <c r="H198">
        <v>36012.467700000001</v>
      </c>
      <c r="I198">
        <v>6.0047537369999997</v>
      </c>
      <c r="J198" s="5">
        <v>300441.81</v>
      </c>
      <c r="K198" s="5">
        <v>7.7</v>
      </c>
      <c r="L198" s="5">
        <v>197152.95</v>
      </c>
      <c r="M198" s="5">
        <v>8.64</v>
      </c>
      <c r="P198" t="s">
        <v>240</v>
      </c>
      <c r="Q198">
        <v>20593.36</v>
      </c>
      <c r="R198">
        <v>23.45</v>
      </c>
      <c r="S198">
        <v>85742.080000000002</v>
      </c>
      <c r="T198">
        <v>8.6199999999999992</v>
      </c>
      <c r="U198">
        <v>36012.467700000001</v>
      </c>
      <c r="V198">
        <v>6.0047537369999997</v>
      </c>
      <c r="W198" s="5">
        <v>300441.81</v>
      </c>
      <c r="X198" s="5">
        <v>7.7</v>
      </c>
      <c r="Y198" s="5">
        <v>197152.95</v>
      </c>
      <c r="Z198" s="5">
        <v>8.64</v>
      </c>
    </row>
    <row r="199" spans="1:26" x14ac:dyDescent="0.2">
      <c r="A199">
        <v>2021</v>
      </c>
      <c r="B199">
        <v>6</v>
      </c>
      <c r="C199" t="str">
        <f t="shared" si="1"/>
        <v>06/2021</v>
      </c>
      <c r="D199">
        <v>300577.89</v>
      </c>
      <c r="E199">
        <v>15.59</v>
      </c>
      <c r="F199">
        <v>6567688.6399999997</v>
      </c>
      <c r="G199">
        <v>11.89</v>
      </c>
      <c r="H199">
        <v>487545.09909999999</v>
      </c>
      <c r="I199">
        <v>8.4876209550000006</v>
      </c>
      <c r="J199" s="5">
        <v>2252846.17</v>
      </c>
      <c r="K199" s="5">
        <v>9.57</v>
      </c>
      <c r="L199" s="5">
        <v>1315896.22</v>
      </c>
      <c r="M199" s="5">
        <v>8.94</v>
      </c>
      <c r="P199" t="s">
        <v>241</v>
      </c>
      <c r="Q199">
        <v>300577.89</v>
      </c>
      <c r="R199">
        <v>15.59</v>
      </c>
      <c r="S199">
        <v>6567688.6399999997</v>
      </c>
      <c r="T199">
        <v>11.89</v>
      </c>
      <c r="U199">
        <v>487545.09909999999</v>
      </c>
      <c r="V199">
        <v>8.4876209550000006</v>
      </c>
      <c r="W199" s="5">
        <v>2252846.17</v>
      </c>
      <c r="X199" s="5">
        <v>9.57</v>
      </c>
      <c r="Y199" s="5">
        <v>1315896.22</v>
      </c>
      <c r="Z199" s="5">
        <v>8.94</v>
      </c>
    </row>
    <row r="200" spans="1:26" x14ac:dyDescent="0.2">
      <c r="A200">
        <v>2021</v>
      </c>
      <c r="B200">
        <v>7</v>
      </c>
      <c r="C200" t="str">
        <f t="shared" si="1"/>
        <v>07/2021</v>
      </c>
      <c r="D200">
        <v>337198.83</v>
      </c>
      <c r="E200">
        <v>15.43</v>
      </c>
      <c r="F200">
        <v>3250555.66</v>
      </c>
      <c r="G200">
        <v>12.38</v>
      </c>
      <c r="H200">
        <v>177022.16750000001</v>
      </c>
      <c r="I200">
        <v>8.9721927049999994</v>
      </c>
      <c r="J200" s="5">
        <v>2594465.9500000002</v>
      </c>
      <c r="K200" s="5">
        <v>8.66</v>
      </c>
      <c r="L200" s="5">
        <v>578354.56000000006</v>
      </c>
      <c r="M200" s="5">
        <v>8.68</v>
      </c>
      <c r="P200" t="s">
        <v>242</v>
      </c>
      <c r="Q200">
        <v>337198.83</v>
      </c>
      <c r="R200">
        <v>15.43</v>
      </c>
      <c r="S200">
        <v>3250555.66</v>
      </c>
      <c r="T200">
        <v>12.38</v>
      </c>
      <c r="U200">
        <v>177022.16750000001</v>
      </c>
      <c r="V200">
        <v>8.9721927049999994</v>
      </c>
      <c r="W200" s="5">
        <v>2594465.9500000002</v>
      </c>
      <c r="X200" s="5">
        <v>8.66</v>
      </c>
      <c r="Y200" s="5">
        <v>578354.56000000006</v>
      </c>
      <c r="Z200" s="5">
        <v>8.68</v>
      </c>
    </row>
    <row r="201" spans="1:26" x14ac:dyDescent="0.2">
      <c r="A201">
        <v>2021</v>
      </c>
      <c r="B201">
        <v>8</v>
      </c>
      <c r="C201" t="str">
        <f t="shared" si="1"/>
        <v>08/2021</v>
      </c>
      <c r="D201">
        <v>16027.59</v>
      </c>
      <c r="E201">
        <v>2.08</v>
      </c>
      <c r="F201">
        <v>60027.39</v>
      </c>
      <c r="G201">
        <v>6.25</v>
      </c>
      <c r="H201">
        <v>165910.88269999999</v>
      </c>
      <c r="I201">
        <v>7.1598437700000002</v>
      </c>
      <c r="J201" s="5">
        <v>697353.57</v>
      </c>
      <c r="K201" s="5">
        <v>8.58</v>
      </c>
      <c r="L201" s="5">
        <v>157293.34</v>
      </c>
      <c r="M201" s="5">
        <v>8.01</v>
      </c>
      <c r="P201" t="s">
        <v>243</v>
      </c>
      <c r="Q201">
        <v>16027.59</v>
      </c>
      <c r="R201">
        <v>2.08</v>
      </c>
      <c r="S201">
        <v>60027.39</v>
      </c>
      <c r="T201">
        <v>6.25</v>
      </c>
      <c r="U201">
        <v>165910.88269999999</v>
      </c>
      <c r="V201">
        <v>7.1598437700000002</v>
      </c>
      <c r="W201" s="5">
        <v>697353.57</v>
      </c>
      <c r="X201" s="5">
        <v>8.58</v>
      </c>
      <c r="Y201" s="5">
        <v>157293.34</v>
      </c>
      <c r="Z201" s="5">
        <v>8.01</v>
      </c>
    </row>
    <row r="202" spans="1:26" x14ac:dyDescent="0.2">
      <c r="A202">
        <v>2021</v>
      </c>
      <c r="B202">
        <v>9</v>
      </c>
      <c r="C202" t="str">
        <f t="shared" si="1"/>
        <v>09/2021</v>
      </c>
      <c r="D202">
        <v>15998.93</v>
      </c>
      <c r="E202">
        <v>7.44</v>
      </c>
      <c r="F202">
        <v>109364.58</v>
      </c>
      <c r="G202">
        <v>10.67</v>
      </c>
      <c r="H202">
        <v>35273.919999999998</v>
      </c>
      <c r="I202">
        <v>9.5494915220000003</v>
      </c>
      <c r="J202" s="5">
        <v>719133.05</v>
      </c>
      <c r="K202" s="5">
        <v>10.220000000000001</v>
      </c>
      <c r="L202" s="5">
        <v>347757.46</v>
      </c>
      <c r="M202" s="5">
        <v>9.77</v>
      </c>
      <c r="P202" t="s">
        <v>244</v>
      </c>
      <c r="Q202">
        <v>15998.93</v>
      </c>
      <c r="R202">
        <v>7.44</v>
      </c>
      <c r="S202">
        <v>109364.58</v>
      </c>
      <c r="T202">
        <v>10.67</v>
      </c>
      <c r="U202">
        <v>35273.919999999998</v>
      </c>
      <c r="V202">
        <v>9.5494915220000003</v>
      </c>
      <c r="W202" s="5">
        <v>719133.05</v>
      </c>
      <c r="X202" s="5">
        <v>10.220000000000001</v>
      </c>
      <c r="Y202" s="5">
        <v>347757.46</v>
      </c>
      <c r="Z202" s="5">
        <v>9.77</v>
      </c>
    </row>
    <row r="203" spans="1:26" x14ac:dyDescent="0.2">
      <c r="A203">
        <v>2021</v>
      </c>
      <c r="B203">
        <v>10</v>
      </c>
      <c r="C203" t="str">
        <f t="shared" si="1"/>
        <v>10/2021</v>
      </c>
      <c r="D203">
        <v>288761.13</v>
      </c>
      <c r="E203">
        <v>17.510000000000002</v>
      </c>
      <c r="F203">
        <v>3583477.53</v>
      </c>
      <c r="G203">
        <v>13.61</v>
      </c>
      <c r="H203">
        <v>148950.74110000001</v>
      </c>
      <c r="I203">
        <v>7.6477833669999997</v>
      </c>
      <c r="J203" s="5">
        <v>1114730.8600000001</v>
      </c>
      <c r="K203" s="5">
        <v>11.65</v>
      </c>
      <c r="L203" s="5">
        <v>525238.54</v>
      </c>
      <c r="M203" s="5">
        <v>8.52</v>
      </c>
      <c r="P203" t="s">
        <v>245</v>
      </c>
      <c r="Q203">
        <v>288761.13</v>
      </c>
      <c r="R203">
        <v>17.510000000000002</v>
      </c>
      <c r="S203">
        <v>3583477.53</v>
      </c>
      <c r="T203">
        <v>13.61</v>
      </c>
      <c r="U203">
        <v>148950.74110000001</v>
      </c>
      <c r="V203">
        <v>7.6477833669999997</v>
      </c>
      <c r="W203" s="5">
        <v>1114730.8600000001</v>
      </c>
      <c r="X203" s="5">
        <v>11.65</v>
      </c>
      <c r="Y203" s="5">
        <v>525238.54</v>
      </c>
      <c r="Z203" s="5">
        <v>8.52</v>
      </c>
    </row>
    <row r="204" spans="1:26" x14ac:dyDescent="0.2">
      <c r="A204">
        <v>2021</v>
      </c>
      <c r="B204">
        <v>11</v>
      </c>
      <c r="C204" t="str">
        <f t="shared" si="1"/>
        <v>11/2021</v>
      </c>
      <c r="D204">
        <v>306953.65000000002</v>
      </c>
      <c r="E204">
        <v>16.920000000000002</v>
      </c>
      <c r="F204">
        <v>4681856.7</v>
      </c>
      <c r="G204">
        <v>14.29</v>
      </c>
      <c r="H204">
        <v>60957.743000000002</v>
      </c>
      <c r="I204">
        <v>9.9533704850000007</v>
      </c>
      <c r="J204" s="5">
        <v>638035.93999999994</v>
      </c>
      <c r="K204" s="5">
        <v>12.01</v>
      </c>
      <c r="L204" s="5">
        <v>340521.88</v>
      </c>
      <c r="M204" s="5">
        <v>8.0299999999999994</v>
      </c>
      <c r="P204" t="s">
        <v>246</v>
      </c>
      <c r="Q204">
        <v>306953.65000000002</v>
      </c>
      <c r="R204">
        <v>16.920000000000002</v>
      </c>
      <c r="S204">
        <v>4681856.7</v>
      </c>
      <c r="T204">
        <v>14.29</v>
      </c>
      <c r="U204">
        <v>60957.743000000002</v>
      </c>
      <c r="V204">
        <v>9.9533704850000007</v>
      </c>
      <c r="W204" s="5">
        <v>638035.93999999994</v>
      </c>
      <c r="X204" s="5">
        <v>12.01</v>
      </c>
      <c r="Y204" s="5">
        <v>340521.88</v>
      </c>
      <c r="Z204" s="5">
        <v>8.0299999999999994</v>
      </c>
    </row>
    <row r="205" spans="1:26" x14ac:dyDescent="0.2">
      <c r="A205">
        <v>2021</v>
      </c>
      <c r="B205">
        <v>12</v>
      </c>
      <c r="C205" t="str">
        <f t="shared" si="1"/>
        <v>12/2021</v>
      </c>
      <c r="D205">
        <v>2193.6</v>
      </c>
      <c r="E205">
        <v>8.41</v>
      </c>
      <c r="F205">
        <v>101099.46</v>
      </c>
      <c r="G205">
        <v>10.61</v>
      </c>
      <c r="H205">
        <v>37035.411379999998</v>
      </c>
      <c r="I205">
        <v>10.05497134</v>
      </c>
      <c r="J205" s="5">
        <v>206328.59</v>
      </c>
      <c r="K205" s="5">
        <v>14.57</v>
      </c>
      <c r="L205" s="5">
        <v>44154.22</v>
      </c>
      <c r="M205" s="5">
        <v>8.51</v>
      </c>
      <c r="P205" t="s">
        <v>247</v>
      </c>
      <c r="Q205">
        <v>2193.6</v>
      </c>
      <c r="R205">
        <v>8.41</v>
      </c>
      <c r="S205">
        <v>101099.46</v>
      </c>
      <c r="T205">
        <v>10.61</v>
      </c>
      <c r="U205">
        <v>37035.411379999998</v>
      </c>
      <c r="V205">
        <v>10.05497134</v>
      </c>
      <c r="W205" s="5">
        <v>206328.59</v>
      </c>
      <c r="X205" s="5">
        <v>14.57</v>
      </c>
      <c r="Y205" s="5">
        <v>44154.22</v>
      </c>
      <c r="Z205" s="5">
        <v>8.51</v>
      </c>
    </row>
    <row r="206" spans="1:26" x14ac:dyDescent="0.2">
      <c r="A206">
        <v>2022</v>
      </c>
      <c r="B206">
        <v>1</v>
      </c>
      <c r="C206" t="str">
        <f t="shared" si="1"/>
        <v>01/2022</v>
      </c>
      <c r="D206">
        <v>3231.97</v>
      </c>
      <c r="E206">
        <v>14.6</v>
      </c>
      <c r="F206">
        <v>147158.39000000001</v>
      </c>
      <c r="G206">
        <v>12.33</v>
      </c>
      <c r="H206">
        <v>436.51476000000002</v>
      </c>
      <c r="I206">
        <v>27.779129390000001</v>
      </c>
      <c r="J206" s="5">
        <v>284656.7</v>
      </c>
      <c r="K206" s="5">
        <v>8.1</v>
      </c>
      <c r="L206" s="5">
        <v>151041.01999999999</v>
      </c>
      <c r="M206" s="5">
        <v>10.82</v>
      </c>
      <c r="P206" t="s">
        <v>248</v>
      </c>
      <c r="Q206">
        <v>3231.97</v>
      </c>
      <c r="R206">
        <v>14.6</v>
      </c>
      <c r="S206">
        <v>147158.39000000001</v>
      </c>
      <c r="T206">
        <v>12.33</v>
      </c>
      <c r="U206">
        <v>436.51476000000002</v>
      </c>
      <c r="V206">
        <v>27.779129390000001</v>
      </c>
      <c r="W206" s="5">
        <v>284656.7</v>
      </c>
      <c r="X206" s="5">
        <v>8.1</v>
      </c>
      <c r="Y206" s="5">
        <v>151041.01999999999</v>
      </c>
      <c r="Z206" s="5">
        <v>10.82</v>
      </c>
    </row>
    <row r="207" spans="1:26" x14ac:dyDescent="0.2">
      <c r="A207">
        <v>2022</v>
      </c>
      <c r="B207">
        <v>2</v>
      </c>
      <c r="C207" t="str">
        <f t="shared" si="1"/>
        <v>02/2022</v>
      </c>
      <c r="D207">
        <v>174497.88</v>
      </c>
      <c r="E207">
        <v>16.43</v>
      </c>
      <c r="F207">
        <v>4812458.38</v>
      </c>
      <c r="G207">
        <v>15.85</v>
      </c>
      <c r="H207">
        <v>1761.4913799999999</v>
      </c>
      <c r="I207">
        <v>25.764531420000001</v>
      </c>
      <c r="J207" s="5">
        <v>412491.84</v>
      </c>
      <c r="K207" s="5">
        <v>18.2</v>
      </c>
      <c r="L207" s="5">
        <v>0</v>
      </c>
      <c r="M207" s="5">
        <v>0</v>
      </c>
      <c r="P207" t="s">
        <v>249</v>
      </c>
      <c r="Q207">
        <v>174497.88</v>
      </c>
      <c r="R207">
        <v>16.43</v>
      </c>
      <c r="S207">
        <v>4812458.38</v>
      </c>
      <c r="T207">
        <v>15.85</v>
      </c>
      <c r="U207">
        <v>1761.4913799999999</v>
      </c>
      <c r="V207">
        <v>25.764531420000001</v>
      </c>
      <c r="W207" s="5">
        <v>412491.84</v>
      </c>
      <c r="X207" s="5">
        <v>18.2</v>
      </c>
      <c r="Y207" s="5">
        <v>0</v>
      </c>
      <c r="Z207" s="5">
        <v>0</v>
      </c>
    </row>
    <row r="208" spans="1:26" x14ac:dyDescent="0.2">
      <c r="A208">
        <v>2022</v>
      </c>
      <c r="B208">
        <v>3</v>
      </c>
      <c r="C208" t="str">
        <f t="shared" si="1"/>
        <v>03/2022</v>
      </c>
      <c r="D208">
        <v>250905.60000000001</v>
      </c>
      <c r="E208">
        <v>12.64</v>
      </c>
      <c r="F208">
        <v>3143397.9</v>
      </c>
      <c r="G208">
        <v>15.17</v>
      </c>
      <c r="J208" s="5">
        <v>63526.25</v>
      </c>
      <c r="K208" s="5">
        <v>20.61</v>
      </c>
      <c r="L208" s="5">
        <v>31724.55</v>
      </c>
      <c r="M208" s="5">
        <v>11.5</v>
      </c>
      <c r="P208" t="s">
        <v>250</v>
      </c>
      <c r="Q208">
        <v>250905.60000000001</v>
      </c>
      <c r="R208">
        <v>12.64</v>
      </c>
      <c r="S208">
        <v>3143397.9</v>
      </c>
      <c r="T208">
        <v>15.17</v>
      </c>
      <c r="W208" s="5">
        <v>63526.25</v>
      </c>
      <c r="X208" s="5">
        <v>20.61</v>
      </c>
      <c r="Y208" s="5">
        <v>31724.55</v>
      </c>
      <c r="Z208" s="5">
        <v>11.5</v>
      </c>
    </row>
    <row r="209" spans="1:26" x14ac:dyDescent="0.2">
      <c r="A209">
        <v>2022</v>
      </c>
      <c r="B209">
        <v>4</v>
      </c>
      <c r="C209" t="str">
        <f t="shared" si="1"/>
        <v>04/2022</v>
      </c>
      <c r="D209">
        <v>73175.75</v>
      </c>
      <c r="E209">
        <v>3.51</v>
      </c>
      <c r="F209">
        <v>106514.01</v>
      </c>
      <c r="G209">
        <v>13.39</v>
      </c>
      <c r="J209" s="5">
        <v>72190.429999999993</v>
      </c>
      <c r="K209" s="5">
        <v>16.18</v>
      </c>
      <c r="L209" s="5">
        <v>24954.14</v>
      </c>
      <c r="M209" s="5">
        <v>9.5399999999999991</v>
      </c>
      <c r="P209" t="s">
        <v>251</v>
      </c>
      <c r="Q209">
        <v>73175.75</v>
      </c>
      <c r="R209">
        <v>3.51</v>
      </c>
      <c r="S209">
        <v>106514.01</v>
      </c>
      <c r="T209">
        <v>13.39</v>
      </c>
      <c r="W209" s="5">
        <v>72190.429999999993</v>
      </c>
      <c r="X209" s="5">
        <v>16.18</v>
      </c>
      <c r="Y209" s="5">
        <v>24954.14</v>
      </c>
      <c r="Z209" s="5">
        <v>9.5399999999999991</v>
      </c>
    </row>
    <row r="210" spans="1:26" x14ac:dyDescent="0.2">
      <c r="A210">
        <v>2022</v>
      </c>
      <c r="B210">
        <v>5</v>
      </c>
      <c r="C210" t="str">
        <f t="shared" si="1"/>
        <v>05/2022</v>
      </c>
      <c r="D210">
        <v>148163.69</v>
      </c>
      <c r="E210">
        <v>4.9800000000000004</v>
      </c>
      <c r="F210">
        <v>89838.27</v>
      </c>
      <c r="G210">
        <v>13.5</v>
      </c>
      <c r="H210">
        <v>35031.411800000002</v>
      </c>
      <c r="I210">
        <v>8.5948291700000006</v>
      </c>
      <c r="J210" s="5">
        <v>732228.52</v>
      </c>
      <c r="K210" s="5">
        <v>9.99</v>
      </c>
      <c r="L210" s="5">
        <v>104280.94</v>
      </c>
      <c r="M210" s="5">
        <v>9.4600000000000009</v>
      </c>
      <c r="P210" t="s">
        <v>252</v>
      </c>
      <c r="Q210">
        <v>148163.69</v>
      </c>
      <c r="R210">
        <v>4.9800000000000004</v>
      </c>
      <c r="S210">
        <v>89838.27</v>
      </c>
      <c r="T210">
        <v>13.5</v>
      </c>
      <c r="U210">
        <v>35031.411800000002</v>
      </c>
      <c r="V210">
        <v>8.5948291700000006</v>
      </c>
      <c r="W210" s="5">
        <v>732228.52</v>
      </c>
      <c r="X210" s="5">
        <v>9.99</v>
      </c>
      <c r="Y210" s="5">
        <v>104280.94</v>
      </c>
      <c r="Z210" s="5">
        <v>9.4600000000000009</v>
      </c>
    </row>
    <row r="211" spans="1:26" x14ac:dyDescent="0.2">
      <c r="A211">
        <v>2022</v>
      </c>
      <c r="B211">
        <v>6</v>
      </c>
      <c r="C211" t="str">
        <f t="shared" si="1"/>
        <v>06/2022</v>
      </c>
      <c r="D211">
        <v>1501917.22</v>
      </c>
      <c r="E211">
        <v>17.34</v>
      </c>
      <c r="F211">
        <v>3981056.5</v>
      </c>
      <c r="G211">
        <v>14.87</v>
      </c>
      <c r="H211">
        <v>101562.4342</v>
      </c>
      <c r="I211">
        <v>8.1974896220000009</v>
      </c>
      <c r="J211" s="5">
        <v>2911087.5</v>
      </c>
      <c r="K211" s="5">
        <v>8.93</v>
      </c>
      <c r="L211" s="5">
        <v>1563085.33</v>
      </c>
      <c r="M211" s="5">
        <v>9.58</v>
      </c>
      <c r="P211" t="s">
        <v>253</v>
      </c>
      <c r="Q211">
        <v>1501917.22</v>
      </c>
      <c r="R211">
        <v>17.34</v>
      </c>
      <c r="S211">
        <v>3981056.5</v>
      </c>
      <c r="T211">
        <v>14.87</v>
      </c>
      <c r="U211">
        <v>101562.4342</v>
      </c>
      <c r="V211">
        <v>8.1974896220000009</v>
      </c>
      <c r="W211" s="5">
        <v>2911087.5</v>
      </c>
      <c r="X211" s="5">
        <v>8.93</v>
      </c>
      <c r="Y211" s="5">
        <v>1563085.33</v>
      </c>
      <c r="Z211" s="5">
        <v>9.58</v>
      </c>
    </row>
    <row r="212" spans="1:26" x14ac:dyDescent="0.2">
      <c r="A212">
        <v>2022</v>
      </c>
      <c r="B212">
        <v>7</v>
      </c>
      <c r="C212" t="str">
        <f t="shared" si="1"/>
        <v>07/2022</v>
      </c>
      <c r="D212">
        <v>1654304.96</v>
      </c>
      <c r="E212">
        <v>16.2</v>
      </c>
      <c r="F212">
        <v>2245136.5099999998</v>
      </c>
      <c r="G212">
        <v>13.28</v>
      </c>
      <c r="H212">
        <v>331147.15169999999</v>
      </c>
      <c r="I212">
        <v>8.8901111929999992</v>
      </c>
      <c r="J212" s="5">
        <v>2716705.76</v>
      </c>
      <c r="K212" s="5">
        <v>9.6300000000000008</v>
      </c>
      <c r="L212" s="5">
        <v>1427877.92</v>
      </c>
      <c r="M212" s="5">
        <v>9.7100000000000009</v>
      </c>
      <c r="P212" t="s">
        <v>254</v>
      </c>
      <c r="Q212">
        <v>1654304.96</v>
      </c>
      <c r="R212">
        <v>16.2</v>
      </c>
      <c r="S212">
        <v>2245136.5099999998</v>
      </c>
      <c r="T212">
        <v>13.28</v>
      </c>
      <c r="U212">
        <v>331147.15169999999</v>
      </c>
      <c r="V212">
        <v>8.8901111929999992</v>
      </c>
      <c r="W212" s="5">
        <v>2716705.76</v>
      </c>
      <c r="X212" s="5">
        <v>9.6300000000000008</v>
      </c>
      <c r="Y212" s="5">
        <v>1427877.92</v>
      </c>
      <c r="Z212" s="5">
        <v>9.7100000000000009</v>
      </c>
    </row>
    <row r="213" spans="1:26" x14ac:dyDescent="0.2">
      <c r="A213">
        <v>2022</v>
      </c>
      <c r="B213">
        <v>8</v>
      </c>
      <c r="C213" t="str">
        <f t="shared" si="1"/>
        <v>08/2022</v>
      </c>
      <c r="D213">
        <v>4224.05</v>
      </c>
      <c r="E213">
        <v>3.88</v>
      </c>
      <c r="F213">
        <v>32670.26</v>
      </c>
      <c r="G213">
        <v>6.33</v>
      </c>
      <c r="H213">
        <v>339149.92229999998</v>
      </c>
      <c r="I213">
        <v>8.9466480760000007</v>
      </c>
      <c r="J213" s="5">
        <v>1306844.04</v>
      </c>
      <c r="K213" s="5">
        <v>11.02</v>
      </c>
      <c r="L213" s="5">
        <v>809302.19</v>
      </c>
      <c r="M213" s="5">
        <v>9.15</v>
      </c>
      <c r="P213" t="s">
        <v>255</v>
      </c>
      <c r="Q213">
        <v>4224.05</v>
      </c>
      <c r="R213">
        <v>3.88</v>
      </c>
      <c r="S213">
        <v>32670.26</v>
      </c>
      <c r="T213">
        <v>6.33</v>
      </c>
      <c r="U213">
        <v>339149.92229999998</v>
      </c>
      <c r="V213">
        <v>8.9466480760000007</v>
      </c>
      <c r="W213" s="5">
        <v>1306844.04</v>
      </c>
      <c r="X213" s="5">
        <v>11.02</v>
      </c>
      <c r="Y213" s="5">
        <v>809302.19</v>
      </c>
      <c r="Z213" s="5">
        <v>9.15</v>
      </c>
    </row>
    <row r="214" spans="1:26" x14ac:dyDescent="0.2">
      <c r="A214">
        <v>2022</v>
      </c>
      <c r="B214">
        <v>9</v>
      </c>
      <c r="C214" t="str">
        <f t="shared" si="1"/>
        <v>09/2022</v>
      </c>
      <c r="D214">
        <v>198949.32</v>
      </c>
      <c r="E214">
        <v>3.46</v>
      </c>
      <c r="F214">
        <v>533240.26</v>
      </c>
      <c r="G214">
        <v>14.28</v>
      </c>
      <c r="H214">
        <v>212035.9424</v>
      </c>
      <c r="I214">
        <v>8.0964480870000006</v>
      </c>
      <c r="J214" s="5">
        <v>1284403.1599999999</v>
      </c>
      <c r="K214" s="5">
        <v>9.74</v>
      </c>
      <c r="L214" s="5">
        <v>526294.56000000006</v>
      </c>
      <c r="M214" s="5">
        <v>9.24</v>
      </c>
      <c r="P214" t="s">
        <v>256</v>
      </c>
      <c r="Q214">
        <v>198949.32</v>
      </c>
      <c r="R214">
        <v>3.46</v>
      </c>
      <c r="S214">
        <v>533240.26</v>
      </c>
      <c r="T214">
        <v>14.28</v>
      </c>
      <c r="U214">
        <v>212035.9424</v>
      </c>
      <c r="V214">
        <v>8.0964480870000006</v>
      </c>
      <c r="W214" s="5">
        <v>1284403.1599999999</v>
      </c>
      <c r="X214" s="5">
        <v>9.74</v>
      </c>
      <c r="Y214" s="5">
        <v>526294.56000000006</v>
      </c>
      <c r="Z214" s="5">
        <v>9.24</v>
      </c>
    </row>
    <row r="215" spans="1:26" x14ac:dyDescent="0.2">
      <c r="A215">
        <v>2022</v>
      </c>
      <c r="B215">
        <v>10</v>
      </c>
      <c r="C215" t="str">
        <f t="shared" ref="C215:C241" si="2">TEXT(DATE(A215,B215,1),"mm/yyyy")</f>
        <v>10/2022</v>
      </c>
      <c r="D215">
        <v>2796838.25</v>
      </c>
      <c r="E215">
        <v>16.63</v>
      </c>
      <c r="F215">
        <v>366513.67</v>
      </c>
      <c r="G215">
        <v>14.95</v>
      </c>
      <c r="H215">
        <v>214432.36429999999</v>
      </c>
      <c r="I215">
        <v>8.1425861519999998</v>
      </c>
      <c r="J215" s="5">
        <v>564875.48</v>
      </c>
      <c r="K215" s="5">
        <v>9.51</v>
      </c>
      <c r="L215" s="5">
        <v>423395.92</v>
      </c>
      <c r="M215" s="5">
        <v>8.06</v>
      </c>
      <c r="P215" t="s">
        <v>257</v>
      </c>
      <c r="Q215">
        <v>2796838.25</v>
      </c>
      <c r="R215">
        <v>16.63</v>
      </c>
      <c r="S215">
        <v>366513.67</v>
      </c>
      <c r="T215">
        <v>14.95</v>
      </c>
      <c r="U215">
        <v>214432.36429999999</v>
      </c>
      <c r="V215">
        <v>8.1425861519999998</v>
      </c>
      <c r="W215" s="5">
        <v>564875.48</v>
      </c>
      <c r="X215" s="5">
        <v>9.51</v>
      </c>
      <c r="Y215" s="5">
        <v>423395.92</v>
      </c>
      <c r="Z215" s="5">
        <v>8.06</v>
      </c>
    </row>
    <row r="216" spans="1:26" x14ac:dyDescent="0.2">
      <c r="A216">
        <v>2022</v>
      </c>
      <c r="B216">
        <v>11</v>
      </c>
      <c r="C216" t="str">
        <f t="shared" si="2"/>
        <v>11/2022</v>
      </c>
      <c r="D216">
        <v>3004588.41</v>
      </c>
      <c r="E216">
        <v>15.72</v>
      </c>
      <c r="F216">
        <v>342265.05</v>
      </c>
      <c r="G216">
        <v>12.99</v>
      </c>
      <c r="H216">
        <v>247190.81289999999</v>
      </c>
      <c r="I216">
        <v>8.4940656800000003</v>
      </c>
      <c r="J216" s="5">
        <v>307752.34000000003</v>
      </c>
      <c r="K216" s="5">
        <v>6.93</v>
      </c>
      <c r="L216" s="5">
        <v>389330.06</v>
      </c>
      <c r="M216" s="5">
        <v>10.01</v>
      </c>
      <c r="P216" t="s">
        <v>258</v>
      </c>
      <c r="Q216">
        <v>3004588.41</v>
      </c>
      <c r="R216">
        <v>15.72</v>
      </c>
      <c r="S216">
        <v>342265.05</v>
      </c>
      <c r="T216">
        <v>12.99</v>
      </c>
      <c r="U216">
        <v>247190.81289999999</v>
      </c>
      <c r="V216">
        <v>8.4940656800000003</v>
      </c>
      <c r="W216" s="5">
        <v>307752.34000000003</v>
      </c>
      <c r="X216" s="5">
        <v>6.93</v>
      </c>
      <c r="Y216" s="5">
        <v>389330.06</v>
      </c>
      <c r="Z216" s="5">
        <v>10.01</v>
      </c>
    </row>
    <row r="217" spans="1:26" x14ac:dyDescent="0.2">
      <c r="A217">
        <v>2022</v>
      </c>
      <c r="B217">
        <v>12</v>
      </c>
      <c r="C217" t="str">
        <f t="shared" si="2"/>
        <v>12/2022</v>
      </c>
      <c r="D217">
        <v>8800.84</v>
      </c>
      <c r="E217">
        <v>2</v>
      </c>
      <c r="F217">
        <v>620507.93999999994</v>
      </c>
      <c r="G217">
        <v>10.029999999999999</v>
      </c>
      <c r="H217">
        <v>70062.823600000003</v>
      </c>
      <c r="I217">
        <v>6.3936618159999998</v>
      </c>
      <c r="J217" s="5">
        <v>136783.72</v>
      </c>
      <c r="K217" s="5">
        <v>9.27</v>
      </c>
      <c r="L217" s="5">
        <v>47372.97</v>
      </c>
      <c r="M217" s="5">
        <v>7.6</v>
      </c>
      <c r="P217" t="s">
        <v>259</v>
      </c>
      <c r="Q217">
        <v>8800.84</v>
      </c>
      <c r="R217">
        <v>2</v>
      </c>
      <c r="S217">
        <v>620507.93999999994</v>
      </c>
      <c r="T217">
        <v>10.029999999999999</v>
      </c>
      <c r="U217">
        <v>70062.823600000003</v>
      </c>
      <c r="V217">
        <v>6.3936618159999998</v>
      </c>
      <c r="W217" s="5">
        <v>136783.72</v>
      </c>
      <c r="X217" s="5">
        <v>9.27</v>
      </c>
      <c r="Y217" s="5">
        <v>47372.97</v>
      </c>
      <c r="Z217" s="5">
        <v>7.6</v>
      </c>
    </row>
    <row r="218" spans="1:26" x14ac:dyDescent="0.2">
      <c r="A218">
        <v>2023</v>
      </c>
      <c r="B218">
        <v>1</v>
      </c>
      <c r="C218" t="str">
        <f t="shared" si="2"/>
        <v>01/2023</v>
      </c>
      <c r="D218">
        <v>230323.27</v>
      </c>
      <c r="E218">
        <v>3.22</v>
      </c>
      <c r="F218">
        <v>1796.77</v>
      </c>
      <c r="G218">
        <v>8.1999999999999993</v>
      </c>
      <c r="H218">
        <v>1752.6729</v>
      </c>
      <c r="I218">
        <v>26.206259020000001</v>
      </c>
      <c r="J218" s="5">
        <v>178658.35</v>
      </c>
      <c r="K218" s="5">
        <v>8.67</v>
      </c>
      <c r="L218" s="5">
        <v>105949.84</v>
      </c>
      <c r="M218" s="5">
        <v>8.56</v>
      </c>
      <c r="P218" t="s">
        <v>260</v>
      </c>
      <c r="Q218">
        <v>230323.27</v>
      </c>
      <c r="R218">
        <v>3.22</v>
      </c>
      <c r="S218">
        <v>1796.77</v>
      </c>
      <c r="T218">
        <v>8.1999999999999993</v>
      </c>
      <c r="U218">
        <v>1752.6729</v>
      </c>
      <c r="V218">
        <v>26.206259020000001</v>
      </c>
      <c r="W218" s="5">
        <v>178658.35</v>
      </c>
      <c r="X218" s="5">
        <v>8.67</v>
      </c>
      <c r="Y218" s="5">
        <v>105949.84</v>
      </c>
      <c r="Z218" s="5">
        <v>8.56</v>
      </c>
    </row>
    <row r="219" spans="1:26" x14ac:dyDescent="0.2">
      <c r="A219">
        <v>2023</v>
      </c>
      <c r="B219">
        <v>2</v>
      </c>
      <c r="C219" t="str">
        <f t="shared" si="2"/>
        <v>02/2023</v>
      </c>
      <c r="D219">
        <v>1835242.53</v>
      </c>
      <c r="E219">
        <v>15.9</v>
      </c>
      <c r="F219">
        <v>8050110.4100000001</v>
      </c>
      <c r="G219">
        <v>11.82</v>
      </c>
      <c r="H219">
        <v>102190.7509</v>
      </c>
      <c r="I219">
        <v>6.5069685310000001</v>
      </c>
      <c r="J219" s="5">
        <v>297445.71999999997</v>
      </c>
      <c r="K219" s="5">
        <v>9.4700000000000006</v>
      </c>
      <c r="L219" s="5">
        <v>79487.73</v>
      </c>
      <c r="M219" s="5">
        <v>4.32</v>
      </c>
      <c r="P219" t="s">
        <v>261</v>
      </c>
      <c r="Q219">
        <v>1835242.53</v>
      </c>
      <c r="R219">
        <v>15.9</v>
      </c>
      <c r="S219">
        <v>8050110.4100000001</v>
      </c>
      <c r="T219">
        <v>11.82</v>
      </c>
      <c r="U219">
        <v>102190.7509</v>
      </c>
      <c r="V219">
        <v>6.5069685310000001</v>
      </c>
      <c r="W219" s="5">
        <v>297445.71999999997</v>
      </c>
      <c r="X219" s="5">
        <v>9.4700000000000006</v>
      </c>
      <c r="Y219" s="5">
        <v>79487.73</v>
      </c>
      <c r="Z219" s="5">
        <v>4.32</v>
      </c>
    </row>
    <row r="220" spans="1:26" x14ac:dyDescent="0.2">
      <c r="A220">
        <v>2023</v>
      </c>
      <c r="B220">
        <v>3</v>
      </c>
      <c r="C220" t="str">
        <f t="shared" si="2"/>
        <v>03/2023</v>
      </c>
      <c r="D220">
        <v>2065565.8</v>
      </c>
      <c r="E220">
        <v>14.48</v>
      </c>
      <c r="F220">
        <v>327553.62</v>
      </c>
      <c r="G220">
        <v>11.33</v>
      </c>
      <c r="H220">
        <v>24927.638340000001</v>
      </c>
      <c r="I220">
        <v>21.108257139999999</v>
      </c>
      <c r="J220" s="5">
        <v>92014.41</v>
      </c>
      <c r="K220" s="5">
        <v>17.399999999999999</v>
      </c>
      <c r="L220" s="5">
        <v>0</v>
      </c>
      <c r="M220" s="5">
        <v>0</v>
      </c>
      <c r="P220" t="s">
        <v>262</v>
      </c>
      <c r="Q220">
        <v>2065565.8</v>
      </c>
      <c r="R220">
        <v>14.48</v>
      </c>
      <c r="S220">
        <v>327553.62</v>
      </c>
      <c r="T220">
        <v>11.33</v>
      </c>
      <c r="U220">
        <v>24927.638340000001</v>
      </c>
      <c r="V220">
        <v>21.108257139999999</v>
      </c>
      <c r="W220" s="5">
        <v>92014.41</v>
      </c>
      <c r="X220" s="5">
        <v>17.399999999999999</v>
      </c>
      <c r="Y220" s="5">
        <v>0</v>
      </c>
      <c r="Z220" s="5">
        <v>0</v>
      </c>
    </row>
    <row r="221" spans="1:26" x14ac:dyDescent="0.2">
      <c r="A221">
        <v>2023</v>
      </c>
      <c r="B221">
        <v>4</v>
      </c>
      <c r="C221" t="str">
        <f t="shared" si="2"/>
        <v>04/2023</v>
      </c>
      <c r="D221">
        <v>353376.34</v>
      </c>
      <c r="E221">
        <v>2.1800000000000002</v>
      </c>
      <c r="F221">
        <v>2553697.33</v>
      </c>
      <c r="G221">
        <v>14.11</v>
      </c>
      <c r="H221">
        <v>36601.101240000004</v>
      </c>
      <c r="I221">
        <v>7.1998653340000001</v>
      </c>
      <c r="J221" s="5">
        <v>34969.75</v>
      </c>
      <c r="K221" s="5">
        <v>3.79</v>
      </c>
      <c r="L221" s="5">
        <v>0</v>
      </c>
      <c r="M221" s="5">
        <v>0</v>
      </c>
      <c r="P221" t="s">
        <v>263</v>
      </c>
      <c r="Q221">
        <v>353376.34</v>
      </c>
      <c r="R221">
        <v>2.1800000000000002</v>
      </c>
      <c r="S221">
        <v>2553697.33</v>
      </c>
      <c r="T221">
        <v>14.11</v>
      </c>
      <c r="U221">
        <v>36601.101240000004</v>
      </c>
      <c r="V221">
        <v>7.1998653340000001</v>
      </c>
      <c r="W221" s="5">
        <v>34969.75</v>
      </c>
      <c r="X221" s="5">
        <v>3.79</v>
      </c>
      <c r="Y221" s="5">
        <v>0</v>
      </c>
      <c r="Z221" s="5">
        <v>0</v>
      </c>
    </row>
    <row r="222" spans="1:26" x14ac:dyDescent="0.2">
      <c r="A222">
        <v>2023</v>
      </c>
      <c r="B222">
        <v>5</v>
      </c>
      <c r="C222" t="str">
        <f t="shared" si="2"/>
        <v>05/2023</v>
      </c>
      <c r="D222">
        <v>2138349.12</v>
      </c>
      <c r="E222">
        <v>16.43</v>
      </c>
      <c r="F222">
        <v>36241.75</v>
      </c>
      <c r="G222">
        <v>13.56</v>
      </c>
      <c r="H222">
        <v>35273.919999999998</v>
      </c>
      <c r="I222">
        <v>6.924521006</v>
      </c>
      <c r="J222" s="5">
        <v>202406.57</v>
      </c>
      <c r="K222" s="5">
        <v>7.28</v>
      </c>
      <c r="L222" s="5">
        <v>87871.92</v>
      </c>
      <c r="M222" s="5">
        <v>9.27</v>
      </c>
      <c r="P222" t="s">
        <v>264</v>
      </c>
      <c r="Q222">
        <v>2138349.12</v>
      </c>
      <c r="R222">
        <v>16.43</v>
      </c>
      <c r="S222">
        <v>36241.75</v>
      </c>
      <c r="T222">
        <v>13.56</v>
      </c>
      <c r="U222">
        <v>35273.919999999998</v>
      </c>
      <c r="V222">
        <v>6.924521006</v>
      </c>
      <c r="W222" s="5">
        <v>202406.57</v>
      </c>
      <c r="X222" s="5">
        <v>7.28</v>
      </c>
      <c r="Y222" s="5">
        <v>87871.92</v>
      </c>
      <c r="Z222" s="5">
        <v>9.27</v>
      </c>
    </row>
    <row r="223" spans="1:26" x14ac:dyDescent="0.2">
      <c r="A223">
        <v>2023</v>
      </c>
      <c r="B223">
        <v>6</v>
      </c>
      <c r="C223" t="str">
        <f t="shared" si="2"/>
        <v>06/2023</v>
      </c>
      <c r="D223">
        <v>2491725.46</v>
      </c>
      <c r="E223">
        <v>14.41</v>
      </c>
      <c r="F223">
        <v>3744326.61</v>
      </c>
      <c r="G223">
        <v>14.89</v>
      </c>
      <c r="H223">
        <v>711038.45160000003</v>
      </c>
      <c r="I223">
        <v>7.7605310760000004</v>
      </c>
      <c r="J223" s="5">
        <v>1094011.8</v>
      </c>
      <c r="K223" s="5">
        <v>8.2799999999999994</v>
      </c>
      <c r="L223" s="5">
        <v>715614.47</v>
      </c>
      <c r="M223" s="5">
        <v>8.9499999999999993</v>
      </c>
      <c r="P223" t="s">
        <v>265</v>
      </c>
      <c r="Q223">
        <v>2491725.46</v>
      </c>
      <c r="R223">
        <v>14.41</v>
      </c>
      <c r="S223">
        <v>3744326.61</v>
      </c>
      <c r="T223">
        <v>14.89</v>
      </c>
      <c r="U223">
        <v>711038.45160000003</v>
      </c>
      <c r="V223">
        <v>7.7605310760000004</v>
      </c>
      <c r="W223" s="5">
        <v>1094011.8</v>
      </c>
      <c r="X223" s="5">
        <v>8.2799999999999994</v>
      </c>
      <c r="Y223" s="5">
        <v>715614.47</v>
      </c>
      <c r="Z223" s="5">
        <v>8.9499999999999993</v>
      </c>
    </row>
    <row r="224" spans="1:26" x14ac:dyDescent="0.2">
      <c r="A224">
        <v>2023</v>
      </c>
      <c r="B224">
        <v>7</v>
      </c>
      <c r="C224" t="str">
        <f t="shared" si="2"/>
        <v>07/2023</v>
      </c>
      <c r="D224">
        <v>257274.74</v>
      </c>
      <c r="E224">
        <v>2.95</v>
      </c>
      <c r="F224">
        <v>139054.20000000001</v>
      </c>
      <c r="G224">
        <v>14.9</v>
      </c>
      <c r="H224">
        <v>269766.12170000002</v>
      </c>
      <c r="I224">
        <v>6.7960757579999997</v>
      </c>
      <c r="J224" s="5">
        <v>939992.33</v>
      </c>
      <c r="K224" s="5">
        <v>8.24</v>
      </c>
      <c r="L224" s="5">
        <v>589406.34</v>
      </c>
      <c r="M224" s="5">
        <v>10.66</v>
      </c>
      <c r="P224" t="s">
        <v>266</v>
      </c>
      <c r="Q224">
        <v>257274.74</v>
      </c>
      <c r="R224">
        <v>2.95</v>
      </c>
      <c r="S224">
        <v>139054.20000000001</v>
      </c>
      <c r="T224">
        <v>14.9</v>
      </c>
      <c r="U224">
        <v>269766.12170000002</v>
      </c>
      <c r="V224">
        <v>6.7960757579999997</v>
      </c>
      <c r="W224" s="5">
        <v>939992.33</v>
      </c>
      <c r="X224" s="5">
        <v>8.24</v>
      </c>
      <c r="Y224" s="5">
        <v>589406.34</v>
      </c>
      <c r="Z224" s="5">
        <v>10.66</v>
      </c>
    </row>
    <row r="225" spans="1:26" x14ac:dyDescent="0.2">
      <c r="A225">
        <v>2023</v>
      </c>
      <c r="B225">
        <v>8</v>
      </c>
      <c r="C225" t="str">
        <f t="shared" si="2"/>
        <v>08/2023</v>
      </c>
      <c r="D225">
        <v>1567914.72</v>
      </c>
      <c r="E225">
        <v>16.95</v>
      </c>
      <c r="F225">
        <v>4050387.39</v>
      </c>
      <c r="G225">
        <v>15.05</v>
      </c>
      <c r="H225">
        <v>108542.2611</v>
      </c>
      <c r="I225">
        <v>6.8060402709999996</v>
      </c>
      <c r="J225" s="5">
        <v>695596.48</v>
      </c>
      <c r="K225" s="5">
        <v>8.8699999999999992</v>
      </c>
      <c r="L225" s="5">
        <v>334410.65999999997</v>
      </c>
      <c r="M225" s="5">
        <v>10.29</v>
      </c>
      <c r="P225" t="s">
        <v>267</v>
      </c>
      <c r="Q225">
        <v>1567914.72</v>
      </c>
      <c r="R225">
        <v>16.95</v>
      </c>
      <c r="S225">
        <v>4050387.39</v>
      </c>
      <c r="T225">
        <v>15.05</v>
      </c>
      <c r="U225">
        <v>108542.2611</v>
      </c>
      <c r="V225">
        <v>6.8060402709999996</v>
      </c>
      <c r="W225" s="5">
        <v>695596.48</v>
      </c>
      <c r="X225" s="5">
        <v>8.8699999999999992</v>
      </c>
      <c r="Y225" s="5">
        <v>334410.65999999997</v>
      </c>
      <c r="Z225" s="5">
        <v>10.29</v>
      </c>
    </row>
    <row r="226" spans="1:26" x14ac:dyDescent="0.2">
      <c r="A226">
        <v>2023</v>
      </c>
      <c r="B226">
        <v>9</v>
      </c>
      <c r="C226" t="str">
        <f t="shared" si="2"/>
        <v>09/2023</v>
      </c>
      <c r="D226">
        <v>1825189.47</v>
      </c>
      <c r="E226">
        <v>14.98</v>
      </c>
      <c r="F226">
        <v>137374.28</v>
      </c>
      <c r="G226">
        <v>14.41</v>
      </c>
      <c r="H226">
        <v>3218.7451999999998</v>
      </c>
      <c r="I226">
        <v>15.095012799999999</v>
      </c>
      <c r="J226" s="5">
        <v>989168.68</v>
      </c>
      <c r="K226" s="5">
        <v>11.58</v>
      </c>
      <c r="L226" s="5">
        <v>572671.03</v>
      </c>
      <c r="M226" s="5">
        <v>8.66</v>
      </c>
      <c r="P226" t="s">
        <v>268</v>
      </c>
      <c r="Q226">
        <v>1825189.47</v>
      </c>
      <c r="R226">
        <v>14.98</v>
      </c>
      <c r="S226">
        <v>137374.28</v>
      </c>
      <c r="T226">
        <v>14.41</v>
      </c>
      <c r="U226">
        <v>3218.7451999999998</v>
      </c>
      <c r="V226">
        <v>15.095012799999999</v>
      </c>
      <c r="W226" s="5">
        <v>989168.68</v>
      </c>
      <c r="X226" s="5">
        <v>11.58</v>
      </c>
      <c r="Y226" s="5">
        <v>572671.03</v>
      </c>
      <c r="Z226" s="5">
        <v>8.66</v>
      </c>
    </row>
    <row r="227" spans="1:26" x14ac:dyDescent="0.2">
      <c r="A227">
        <v>2023</v>
      </c>
      <c r="B227">
        <v>10</v>
      </c>
      <c r="C227" t="str">
        <f t="shared" si="2"/>
        <v>10/2023</v>
      </c>
      <c r="D227">
        <v>289951.62</v>
      </c>
      <c r="E227">
        <v>3.77</v>
      </c>
      <c r="F227">
        <v>3291592.46</v>
      </c>
      <c r="G227">
        <v>15.36</v>
      </c>
      <c r="H227">
        <v>257702.44099999999</v>
      </c>
      <c r="I227">
        <v>6.4868962559999996</v>
      </c>
      <c r="J227" s="5">
        <v>562628.97</v>
      </c>
      <c r="K227" s="5">
        <v>8.4700000000000006</v>
      </c>
      <c r="L227" s="5">
        <v>237147.04</v>
      </c>
      <c r="M227" s="5">
        <v>8.6300000000000008</v>
      </c>
      <c r="P227" t="s">
        <v>269</v>
      </c>
      <c r="Q227">
        <v>289951.62</v>
      </c>
      <c r="R227">
        <v>3.77</v>
      </c>
      <c r="S227">
        <v>3291592.46</v>
      </c>
      <c r="T227">
        <v>15.36</v>
      </c>
      <c r="U227">
        <v>257702.44099999999</v>
      </c>
      <c r="V227">
        <v>6.4868962559999996</v>
      </c>
      <c r="W227" s="5">
        <v>562628.97</v>
      </c>
      <c r="X227" s="5">
        <v>8.4700000000000006</v>
      </c>
      <c r="Y227" s="5">
        <v>237147.04</v>
      </c>
      <c r="Z227" s="5">
        <v>8.6300000000000008</v>
      </c>
    </row>
    <row r="228" spans="1:26" x14ac:dyDescent="0.2">
      <c r="A228">
        <v>2023</v>
      </c>
      <c r="B228">
        <v>11</v>
      </c>
      <c r="C228" t="str">
        <f t="shared" si="2"/>
        <v>11/2023</v>
      </c>
      <c r="D228">
        <v>1562806.62</v>
      </c>
      <c r="E228">
        <v>15.63</v>
      </c>
      <c r="F228">
        <v>149393.87</v>
      </c>
      <c r="G228">
        <v>12.04</v>
      </c>
      <c r="H228">
        <v>144023.4154</v>
      </c>
      <c r="I228">
        <v>2.8142090579999999</v>
      </c>
      <c r="J228" s="5">
        <v>244969.05</v>
      </c>
      <c r="K228" s="5">
        <v>11.92</v>
      </c>
      <c r="L228" s="5">
        <v>98639.31</v>
      </c>
      <c r="M228" s="5">
        <v>10.57</v>
      </c>
      <c r="P228" t="s">
        <v>270</v>
      </c>
      <c r="Q228">
        <v>1562806.62</v>
      </c>
      <c r="R228">
        <v>15.63</v>
      </c>
      <c r="S228">
        <v>149393.87</v>
      </c>
      <c r="T228">
        <v>12.04</v>
      </c>
      <c r="U228">
        <v>144023.4154</v>
      </c>
      <c r="V228">
        <v>2.8142090579999999</v>
      </c>
      <c r="W228" s="5">
        <v>244969.05</v>
      </c>
      <c r="X228" s="5">
        <v>11.92</v>
      </c>
      <c r="Y228" s="5">
        <v>98639.31</v>
      </c>
      <c r="Z228" s="5">
        <v>10.57</v>
      </c>
    </row>
    <row r="229" spans="1:26" x14ac:dyDescent="0.2">
      <c r="A229">
        <v>2023</v>
      </c>
      <c r="B229">
        <v>12</v>
      </c>
      <c r="C229" t="str">
        <f t="shared" si="2"/>
        <v>12/2023</v>
      </c>
      <c r="D229">
        <v>1912981.84</v>
      </c>
      <c r="E229">
        <v>13.44</v>
      </c>
      <c r="F229">
        <v>3657654.18</v>
      </c>
      <c r="G229">
        <v>15.15</v>
      </c>
      <c r="H229">
        <v>143368.64319999999</v>
      </c>
      <c r="I229">
        <v>8.1801360019999994</v>
      </c>
      <c r="J229" s="5">
        <v>221677.19</v>
      </c>
      <c r="K229" s="5">
        <v>8.4700000000000006</v>
      </c>
      <c r="L229" s="5">
        <v>115782.47</v>
      </c>
      <c r="M229" s="5">
        <v>6.51</v>
      </c>
      <c r="P229" t="s">
        <v>271</v>
      </c>
      <c r="Q229">
        <v>1912981.84</v>
      </c>
      <c r="R229">
        <v>13.44</v>
      </c>
      <c r="S229">
        <v>3657654.18</v>
      </c>
      <c r="T229">
        <v>15.15</v>
      </c>
      <c r="U229">
        <v>143368.64319999999</v>
      </c>
      <c r="V229">
        <v>8.1801360019999994</v>
      </c>
      <c r="W229" s="5">
        <v>221677.19</v>
      </c>
      <c r="X229" s="5">
        <v>8.4700000000000006</v>
      </c>
      <c r="Y229" s="5">
        <v>115782.47</v>
      </c>
      <c r="Z229" s="5">
        <v>6.51</v>
      </c>
    </row>
    <row r="230" spans="1:26" x14ac:dyDescent="0.2">
      <c r="A230">
        <v>2024</v>
      </c>
      <c r="B230">
        <v>1</v>
      </c>
      <c r="C230" t="str">
        <f t="shared" si="2"/>
        <v>01/2024</v>
      </c>
      <c r="D230">
        <v>60223.6</v>
      </c>
      <c r="E230">
        <v>3.18</v>
      </c>
      <c r="F230">
        <v>134071.76</v>
      </c>
      <c r="G230">
        <v>13.99</v>
      </c>
      <c r="H230">
        <v>320404.03850000002</v>
      </c>
      <c r="I230">
        <v>8.1382245130000008</v>
      </c>
      <c r="J230" s="5">
        <v>53307.82</v>
      </c>
      <c r="K230" s="5">
        <v>5.8</v>
      </c>
      <c r="L230" s="5">
        <v>98326.25</v>
      </c>
      <c r="M230" s="5">
        <v>8.32</v>
      </c>
      <c r="P230" t="s">
        <v>272</v>
      </c>
      <c r="Q230">
        <v>60223.6</v>
      </c>
      <c r="R230">
        <v>3.18</v>
      </c>
      <c r="S230">
        <v>134071.76</v>
      </c>
      <c r="T230">
        <v>13.99</v>
      </c>
      <c r="U230">
        <v>320404.03850000002</v>
      </c>
      <c r="V230">
        <v>8.1382245130000008</v>
      </c>
      <c r="W230" s="5">
        <v>53307.82</v>
      </c>
      <c r="X230" s="5">
        <v>5.8</v>
      </c>
      <c r="Y230" s="5">
        <v>98326.25</v>
      </c>
      <c r="Z230" s="5">
        <v>8.32</v>
      </c>
    </row>
    <row r="231" spans="1:26" x14ac:dyDescent="0.2">
      <c r="A231">
        <v>2024</v>
      </c>
      <c r="B231">
        <v>2</v>
      </c>
      <c r="C231" t="str">
        <f t="shared" si="2"/>
        <v>02/2024</v>
      </c>
      <c r="D231">
        <v>107748.6</v>
      </c>
      <c r="E231">
        <v>1.75</v>
      </c>
      <c r="F231">
        <v>5039366.6900000004</v>
      </c>
      <c r="G231">
        <v>13.78</v>
      </c>
      <c r="H231">
        <v>69022.242960000003</v>
      </c>
      <c r="I231">
        <v>7.7305949089999997</v>
      </c>
      <c r="J231" s="5">
        <v>114466.3</v>
      </c>
      <c r="K231" s="5">
        <v>9.24</v>
      </c>
      <c r="L231" s="5">
        <v>40558.480000000003</v>
      </c>
      <c r="M231" s="5">
        <v>8.6999999999999993</v>
      </c>
      <c r="P231" t="s">
        <v>273</v>
      </c>
      <c r="Q231">
        <v>107748.6</v>
      </c>
      <c r="R231">
        <v>1.75</v>
      </c>
      <c r="S231">
        <v>5039366.6900000004</v>
      </c>
      <c r="T231">
        <v>13.78</v>
      </c>
      <c r="U231">
        <v>69022.242960000003</v>
      </c>
      <c r="V231">
        <v>7.7305949089999997</v>
      </c>
      <c r="W231" s="5">
        <v>114466.3</v>
      </c>
      <c r="X231" s="5">
        <v>9.24</v>
      </c>
      <c r="Y231" s="5">
        <v>40558.480000000003</v>
      </c>
      <c r="Z231" s="5">
        <v>8.6999999999999993</v>
      </c>
    </row>
    <row r="232" spans="1:26" x14ac:dyDescent="0.2">
      <c r="A232">
        <v>2024</v>
      </c>
      <c r="B232">
        <v>3</v>
      </c>
      <c r="C232" t="str">
        <f t="shared" si="2"/>
        <v>03/2024</v>
      </c>
      <c r="D232">
        <v>692076.52</v>
      </c>
      <c r="E232">
        <v>14.06</v>
      </c>
      <c r="F232">
        <v>185119.74</v>
      </c>
      <c r="G232">
        <v>12.73</v>
      </c>
      <c r="H232">
        <v>318137.68910000002</v>
      </c>
      <c r="I232">
        <v>7.0180870630000003</v>
      </c>
      <c r="J232" s="5">
        <v>158109.04999999999</v>
      </c>
      <c r="K232" s="5">
        <v>11.07</v>
      </c>
      <c r="L232" s="5">
        <v>134415.95000000001</v>
      </c>
      <c r="M232" s="5">
        <v>10.86</v>
      </c>
      <c r="P232" t="s">
        <v>274</v>
      </c>
      <c r="Q232">
        <v>692076.52</v>
      </c>
      <c r="R232">
        <v>14.06</v>
      </c>
      <c r="S232">
        <v>185119.74</v>
      </c>
      <c r="T232">
        <v>12.73</v>
      </c>
      <c r="U232">
        <v>318137.68910000002</v>
      </c>
      <c r="V232">
        <v>7.0180870630000003</v>
      </c>
      <c r="W232" s="5">
        <v>158109.04999999999</v>
      </c>
      <c r="X232" s="5">
        <v>11.07</v>
      </c>
      <c r="Y232" s="5">
        <v>134415.95000000001</v>
      </c>
      <c r="Z232" s="5">
        <v>10.86</v>
      </c>
    </row>
    <row r="233" spans="1:26" x14ac:dyDescent="0.2">
      <c r="A233">
        <v>2024</v>
      </c>
      <c r="B233">
        <v>4</v>
      </c>
      <c r="C233" t="str">
        <f t="shared" si="2"/>
        <v>04/2024</v>
      </c>
      <c r="D233">
        <v>799825.11</v>
      </c>
      <c r="E233">
        <v>12.4</v>
      </c>
      <c r="F233">
        <v>30842.63</v>
      </c>
      <c r="G233">
        <v>13.99</v>
      </c>
      <c r="H233">
        <v>15844.603940000001</v>
      </c>
      <c r="I233">
        <v>7.8395143530000002</v>
      </c>
      <c r="J233" s="5">
        <v>34841.879999999997</v>
      </c>
      <c r="K233" s="5">
        <v>9.1300000000000008</v>
      </c>
      <c r="L233" s="5">
        <v>80215.259999999995</v>
      </c>
      <c r="M233" s="5">
        <v>7.66</v>
      </c>
      <c r="P233" t="s">
        <v>275</v>
      </c>
      <c r="Q233">
        <v>799825.11</v>
      </c>
      <c r="R233">
        <v>12.4</v>
      </c>
      <c r="S233">
        <v>30842.63</v>
      </c>
      <c r="T233">
        <v>13.99</v>
      </c>
      <c r="U233">
        <v>15844.603940000001</v>
      </c>
      <c r="V233">
        <v>7.8395143530000002</v>
      </c>
      <c r="W233" s="5">
        <v>34841.879999999997</v>
      </c>
      <c r="X233" s="5">
        <v>9.1300000000000008</v>
      </c>
      <c r="Y233" s="5">
        <v>80215.259999999995</v>
      </c>
      <c r="Z233" s="5">
        <v>7.66</v>
      </c>
    </row>
    <row r="234" spans="1:26" x14ac:dyDescent="0.2">
      <c r="A234">
        <v>2024</v>
      </c>
      <c r="B234">
        <v>5</v>
      </c>
      <c r="C234" t="str">
        <f t="shared" si="2"/>
        <v>05/2024</v>
      </c>
      <c r="D234">
        <v>58989.02</v>
      </c>
      <c r="E234">
        <v>2.34</v>
      </c>
      <c r="F234">
        <v>2406805.7000000002</v>
      </c>
      <c r="G234">
        <v>13.77</v>
      </c>
      <c r="H234">
        <v>133787.36470000001</v>
      </c>
      <c r="I234">
        <v>4.3424878070000004</v>
      </c>
      <c r="J234" s="5">
        <v>302789.73</v>
      </c>
      <c r="K234" s="5">
        <v>5.98</v>
      </c>
      <c r="L234" s="5">
        <v>75239.42</v>
      </c>
      <c r="M234" s="5">
        <v>8.52</v>
      </c>
      <c r="P234" t="s">
        <v>276</v>
      </c>
      <c r="Q234">
        <v>58989.02</v>
      </c>
      <c r="R234">
        <v>2.34</v>
      </c>
      <c r="S234">
        <v>2406805.7000000002</v>
      </c>
      <c r="T234">
        <v>13.77</v>
      </c>
      <c r="U234">
        <v>133787.36470000001</v>
      </c>
      <c r="V234">
        <v>4.3424878070000004</v>
      </c>
      <c r="W234" s="5">
        <v>302789.73</v>
      </c>
      <c r="X234" s="5">
        <v>5.98</v>
      </c>
      <c r="Y234" s="5">
        <v>75239.42</v>
      </c>
      <c r="Z234" s="5">
        <v>8.52</v>
      </c>
    </row>
    <row r="235" spans="1:26" x14ac:dyDescent="0.2">
      <c r="A235">
        <v>2024</v>
      </c>
      <c r="B235">
        <v>6</v>
      </c>
      <c r="C235" t="str">
        <f t="shared" si="2"/>
        <v>06/2024</v>
      </c>
      <c r="D235">
        <v>918793.02</v>
      </c>
      <c r="E235">
        <v>14.27</v>
      </c>
      <c r="F235">
        <v>14325.62</v>
      </c>
      <c r="G235">
        <v>4.04</v>
      </c>
      <c r="H235">
        <v>673753.91819999996</v>
      </c>
      <c r="I235">
        <v>6.8582176300000004</v>
      </c>
      <c r="J235" s="5">
        <v>1743780.75</v>
      </c>
      <c r="K235" s="5">
        <v>8.83</v>
      </c>
      <c r="L235" s="5">
        <v>450876.56</v>
      </c>
      <c r="M235" s="5">
        <v>8.2200000000000006</v>
      </c>
      <c r="P235" t="s">
        <v>277</v>
      </c>
      <c r="Q235">
        <v>918793.02</v>
      </c>
      <c r="R235">
        <v>14.27</v>
      </c>
      <c r="S235">
        <v>14325.62</v>
      </c>
      <c r="T235">
        <v>4.04</v>
      </c>
      <c r="U235">
        <v>673753.91819999996</v>
      </c>
      <c r="V235">
        <v>6.8582176300000004</v>
      </c>
      <c r="W235" s="5">
        <v>1743780.75</v>
      </c>
      <c r="X235" s="5">
        <v>8.83</v>
      </c>
      <c r="Y235" s="5">
        <v>450876.56</v>
      </c>
      <c r="Z235" s="5">
        <v>8.2200000000000006</v>
      </c>
    </row>
    <row r="236" spans="1:26" x14ac:dyDescent="0.2">
      <c r="A236">
        <v>2024</v>
      </c>
      <c r="B236">
        <v>7</v>
      </c>
      <c r="C236" t="str">
        <f t="shared" si="2"/>
        <v>07/2024</v>
      </c>
      <c r="D236">
        <v>1075089.56</v>
      </c>
      <c r="E236">
        <v>12.65</v>
      </c>
      <c r="F236">
        <v>690401</v>
      </c>
      <c r="G236">
        <v>13.8</v>
      </c>
      <c r="H236">
        <v>515572.43320000003</v>
      </c>
      <c r="I236">
        <v>7.584404728</v>
      </c>
      <c r="J236" s="5">
        <v>1852462.12</v>
      </c>
      <c r="K236" s="5">
        <v>9.19</v>
      </c>
      <c r="L236" s="5">
        <v>689582.27</v>
      </c>
      <c r="M236" s="5">
        <v>10.29</v>
      </c>
      <c r="P236" t="s">
        <v>278</v>
      </c>
      <c r="Q236">
        <v>1075089.56</v>
      </c>
      <c r="R236">
        <v>12.65</v>
      </c>
      <c r="S236">
        <v>690401</v>
      </c>
      <c r="T236">
        <v>13.8</v>
      </c>
      <c r="U236">
        <v>515572.43320000003</v>
      </c>
      <c r="V236">
        <v>7.584404728</v>
      </c>
      <c r="W236" s="5">
        <v>1852462.12</v>
      </c>
      <c r="X236" s="5">
        <v>9.19</v>
      </c>
      <c r="Y236" s="5">
        <v>689582.27</v>
      </c>
      <c r="Z236" s="5">
        <v>10.29</v>
      </c>
    </row>
    <row r="237" spans="1:26" x14ac:dyDescent="0.2">
      <c r="A237">
        <v>2024</v>
      </c>
      <c r="B237">
        <v>8</v>
      </c>
      <c r="C237" t="str">
        <f t="shared" si="2"/>
        <v>08/2024</v>
      </c>
      <c r="D237">
        <v>97307.520000000004</v>
      </c>
      <c r="E237">
        <v>3.52</v>
      </c>
      <c r="F237">
        <v>462725.49</v>
      </c>
      <c r="G237">
        <v>14.86</v>
      </c>
      <c r="H237">
        <v>117618.6816</v>
      </c>
      <c r="I237">
        <v>8.8088132409999993</v>
      </c>
      <c r="J237" s="5">
        <v>1253589.1299999999</v>
      </c>
      <c r="K237" s="5">
        <v>8.33</v>
      </c>
      <c r="L237" s="5">
        <v>520926.29</v>
      </c>
      <c r="M237" s="5">
        <v>8.8699999999999992</v>
      </c>
      <c r="P237" t="s">
        <v>279</v>
      </c>
      <c r="Q237">
        <v>97307.520000000004</v>
      </c>
      <c r="R237">
        <v>3.52</v>
      </c>
      <c r="S237">
        <v>462725.49</v>
      </c>
      <c r="T237">
        <v>14.86</v>
      </c>
      <c r="U237">
        <v>117618.6816</v>
      </c>
      <c r="V237">
        <v>8.8088132409999993</v>
      </c>
      <c r="W237" s="5">
        <v>1253589.1299999999</v>
      </c>
      <c r="X237" s="5">
        <v>8.33</v>
      </c>
      <c r="Y237" s="5">
        <v>520926.29</v>
      </c>
      <c r="Z237" s="5">
        <v>8.8699999999999992</v>
      </c>
    </row>
    <row r="238" spans="1:26" x14ac:dyDescent="0.2">
      <c r="A238">
        <v>2024</v>
      </c>
      <c r="B238">
        <v>9</v>
      </c>
      <c r="C238" t="str">
        <f t="shared" si="2"/>
        <v>09/2024</v>
      </c>
      <c r="D238">
        <v>128754.22</v>
      </c>
      <c r="E238">
        <v>2.06</v>
      </c>
      <c r="F238">
        <v>40221.089999999997</v>
      </c>
      <c r="G238">
        <v>3.83</v>
      </c>
      <c r="H238">
        <v>19801.896840000001</v>
      </c>
      <c r="I238">
        <v>11.189231100000001</v>
      </c>
      <c r="J238" s="5">
        <v>1086090.58</v>
      </c>
      <c r="K238" s="5">
        <v>8.6300000000000008</v>
      </c>
      <c r="L238" s="5">
        <v>182882.41</v>
      </c>
      <c r="M238" s="5">
        <v>8.11</v>
      </c>
      <c r="P238" t="s">
        <v>280</v>
      </c>
      <c r="Q238">
        <v>128754.22</v>
      </c>
      <c r="R238">
        <v>2.06</v>
      </c>
      <c r="S238">
        <v>40221.089999999997</v>
      </c>
      <c r="T238">
        <v>3.83</v>
      </c>
      <c r="U238">
        <v>19801.896840000001</v>
      </c>
      <c r="V238">
        <v>11.189231100000001</v>
      </c>
      <c r="W238" s="5">
        <v>1086090.58</v>
      </c>
      <c r="X238" s="5">
        <v>8.6300000000000008</v>
      </c>
      <c r="Y238" s="5">
        <v>182882.41</v>
      </c>
      <c r="Z238" s="5">
        <v>8.11</v>
      </c>
    </row>
    <row r="239" spans="1:26" x14ac:dyDescent="0.2">
      <c r="A239">
        <v>2024</v>
      </c>
      <c r="B239">
        <v>10</v>
      </c>
      <c r="C239" t="str">
        <f t="shared" si="2"/>
        <v>10/2024</v>
      </c>
      <c r="D239">
        <v>864241.9</v>
      </c>
      <c r="E239">
        <v>10.87</v>
      </c>
      <c r="F239">
        <v>417475.66</v>
      </c>
      <c r="G239">
        <v>13.54</v>
      </c>
      <c r="H239">
        <v>110305.9571</v>
      </c>
      <c r="I239">
        <v>5.124093158</v>
      </c>
      <c r="J239" s="5">
        <v>514345.49</v>
      </c>
      <c r="K239" s="5">
        <v>8.6</v>
      </c>
      <c r="L239" s="5">
        <v>161691.56</v>
      </c>
      <c r="M239" s="5">
        <v>15.19</v>
      </c>
      <c r="P239" t="s">
        <v>281</v>
      </c>
      <c r="Q239">
        <v>864241.9</v>
      </c>
      <c r="R239">
        <v>10.87</v>
      </c>
      <c r="S239">
        <v>417475.66</v>
      </c>
      <c r="T239">
        <v>13.54</v>
      </c>
      <c r="U239">
        <v>110305.9571</v>
      </c>
      <c r="V239">
        <v>5.124093158</v>
      </c>
      <c r="W239" s="5">
        <v>514345.49</v>
      </c>
      <c r="X239" s="5">
        <v>8.6</v>
      </c>
      <c r="Y239" s="5">
        <v>161691.56</v>
      </c>
      <c r="Z239" s="5">
        <v>15.19</v>
      </c>
    </row>
    <row r="240" spans="1:26" x14ac:dyDescent="0.2">
      <c r="A240">
        <v>2024</v>
      </c>
      <c r="B240">
        <v>11</v>
      </c>
      <c r="C240" t="str">
        <f t="shared" si="2"/>
        <v>11/2024</v>
      </c>
      <c r="D240">
        <v>671260.49</v>
      </c>
      <c r="E240">
        <v>12.74</v>
      </c>
      <c r="F240">
        <v>21783.85</v>
      </c>
      <c r="G240">
        <v>4.09</v>
      </c>
      <c r="H240">
        <v>282506.62070000003</v>
      </c>
      <c r="I240">
        <v>7.8551999769999998</v>
      </c>
      <c r="J240" s="5">
        <v>374054.22</v>
      </c>
      <c r="K240" s="5">
        <v>9.35</v>
      </c>
      <c r="L240" s="5">
        <v>151545.88</v>
      </c>
      <c r="M240" s="5">
        <v>12.73</v>
      </c>
      <c r="P240" t="s">
        <v>282</v>
      </c>
      <c r="Q240">
        <v>671260.49</v>
      </c>
      <c r="R240">
        <v>12.74</v>
      </c>
      <c r="S240">
        <v>21783.85</v>
      </c>
      <c r="T240">
        <v>4.09</v>
      </c>
      <c r="U240">
        <v>282506.62070000003</v>
      </c>
      <c r="V240">
        <v>7.8551999769999998</v>
      </c>
      <c r="W240" s="5">
        <v>374054.22</v>
      </c>
      <c r="X240" s="5">
        <v>9.35</v>
      </c>
      <c r="Y240" s="5">
        <v>151545.88</v>
      </c>
      <c r="Z240" s="5">
        <v>12.73</v>
      </c>
    </row>
    <row r="241" spans="1:26" x14ac:dyDescent="0.2">
      <c r="A241">
        <v>2024</v>
      </c>
      <c r="B241">
        <v>12</v>
      </c>
      <c r="C241" t="str">
        <f t="shared" si="2"/>
        <v>12/2024</v>
      </c>
      <c r="D241">
        <v>64227.19</v>
      </c>
      <c r="E241">
        <v>8.9600000000000009</v>
      </c>
      <c r="F241">
        <v>184797.86</v>
      </c>
      <c r="G241">
        <v>9.3800000000000008</v>
      </c>
      <c r="H241">
        <v>70274.467120000001</v>
      </c>
      <c r="I241">
        <v>7.5164853129999996</v>
      </c>
      <c r="J241" s="5">
        <v>433127.13</v>
      </c>
      <c r="K241" s="5">
        <v>7.79</v>
      </c>
      <c r="L241" s="5">
        <v>51804.26</v>
      </c>
      <c r="M241" s="5">
        <v>10.029999999999999</v>
      </c>
      <c r="P241" t="s">
        <v>283</v>
      </c>
      <c r="Q241">
        <v>64227.19</v>
      </c>
      <c r="R241">
        <v>8.9600000000000009</v>
      </c>
      <c r="S241">
        <v>184797.86</v>
      </c>
      <c r="T241">
        <v>9.3800000000000008</v>
      </c>
      <c r="U241">
        <v>70274.467120000001</v>
      </c>
      <c r="V241">
        <v>7.5164853129999996</v>
      </c>
      <c r="W241" s="5">
        <v>433127.13</v>
      </c>
      <c r="X241" s="5">
        <v>7.79</v>
      </c>
      <c r="Y241" s="5">
        <v>51804.26</v>
      </c>
      <c r="Z241" s="5">
        <v>10.029999999999999</v>
      </c>
    </row>
    <row r="242" spans="1:26" x14ac:dyDescent="0.2">
      <c r="A242">
        <v>2025</v>
      </c>
      <c r="B242">
        <v>1</v>
      </c>
      <c r="D242">
        <v>2912.3</v>
      </c>
      <c r="E242">
        <v>15.5</v>
      </c>
      <c r="F242">
        <v>2874835.5</v>
      </c>
      <c r="G242">
        <v>13.1</v>
      </c>
      <c r="L242" s="5">
        <v>34949.910000000003</v>
      </c>
      <c r="M242" s="5">
        <v>13.87</v>
      </c>
    </row>
    <row r="243" spans="1:26" x14ac:dyDescent="0.2">
      <c r="A243">
        <v>2025</v>
      </c>
      <c r="B243">
        <v>2</v>
      </c>
      <c r="D243">
        <v>210450.82</v>
      </c>
      <c r="E243">
        <v>13.44</v>
      </c>
      <c r="F243">
        <v>237384.66</v>
      </c>
      <c r="G243">
        <v>11.62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1A70-B7B5-E04C-96FD-92163AAE7655}">
  <dimension ref="E1:G243"/>
  <sheetViews>
    <sheetView workbookViewId="0">
      <selection activeCell="E242" sqref="E242:E243"/>
    </sheetView>
  </sheetViews>
  <sheetFormatPr baseColWidth="10" defaultRowHeight="15" x14ac:dyDescent="0.2"/>
  <cols>
    <col min="5" max="5" width="20.6640625" customWidth="1"/>
    <col min="6" max="6" width="15.6640625" bestFit="1" customWidth="1"/>
  </cols>
  <sheetData>
    <row r="1" spans="5:7" x14ac:dyDescent="0.2">
      <c r="E1" s="1" t="s">
        <v>0</v>
      </c>
      <c r="F1" s="1" t="s">
        <v>17</v>
      </c>
      <c r="G1" t="s">
        <v>82</v>
      </c>
    </row>
    <row r="2" spans="5:7" x14ac:dyDescent="0.2">
      <c r="E2" s="2">
        <v>38353</v>
      </c>
      <c r="F2">
        <v>1306644</v>
      </c>
      <c r="G2">
        <v>507058</v>
      </c>
    </row>
    <row r="3" spans="5:7" x14ac:dyDescent="0.2">
      <c r="E3" s="2">
        <v>38384</v>
      </c>
      <c r="F3">
        <v>589075</v>
      </c>
      <c r="G3">
        <v>30864.399999999998</v>
      </c>
    </row>
    <row r="4" spans="5:7" x14ac:dyDescent="0.2">
      <c r="E4" s="2">
        <v>38412</v>
      </c>
      <c r="F4">
        <v>455276</v>
      </c>
      <c r="G4">
        <v>63933.399999999994</v>
      </c>
    </row>
    <row r="5" spans="5:7" x14ac:dyDescent="0.2">
      <c r="E5" s="2">
        <v>38443</v>
      </c>
      <c r="F5">
        <v>1075281</v>
      </c>
      <c r="G5">
        <v>4409.2</v>
      </c>
    </row>
    <row r="6" spans="5:7" x14ac:dyDescent="0.2">
      <c r="E6" s="2">
        <v>38473</v>
      </c>
      <c r="F6">
        <v>2410035</v>
      </c>
      <c r="G6">
        <v>108025.4</v>
      </c>
    </row>
    <row r="7" spans="5:7" x14ac:dyDescent="0.2">
      <c r="E7" s="2">
        <v>38504</v>
      </c>
      <c r="F7">
        <v>2743911</v>
      </c>
      <c r="G7">
        <v>112434.59999999999</v>
      </c>
    </row>
    <row r="8" spans="5:7" x14ac:dyDescent="0.2">
      <c r="E8" s="2">
        <v>38534</v>
      </c>
      <c r="F8">
        <v>5397526</v>
      </c>
      <c r="G8">
        <v>1106709.2</v>
      </c>
    </row>
    <row r="9" spans="5:7" x14ac:dyDescent="0.2">
      <c r="E9" s="2">
        <v>38565</v>
      </c>
      <c r="F9">
        <v>10076192</v>
      </c>
      <c r="G9">
        <v>2896844.4</v>
      </c>
    </row>
    <row r="10" spans="5:7" x14ac:dyDescent="0.2">
      <c r="E10" s="2">
        <v>38596</v>
      </c>
      <c r="F10">
        <v>13126930</v>
      </c>
      <c r="G10">
        <v>6373498.5999999996</v>
      </c>
    </row>
    <row r="11" spans="5:7" x14ac:dyDescent="0.2">
      <c r="E11" s="2">
        <v>38626</v>
      </c>
      <c r="F11">
        <v>14698512</v>
      </c>
      <c r="G11">
        <v>10145569.199999999</v>
      </c>
    </row>
    <row r="12" spans="5:7" x14ac:dyDescent="0.2">
      <c r="E12" s="2">
        <v>38657</v>
      </c>
      <c r="F12">
        <v>12608919</v>
      </c>
      <c r="G12">
        <v>9839129.7999999989</v>
      </c>
    </row>
    <row r="13" spans="5:7" x14ac:dyDescent="0.2">
      <c r="E13" s="2">
        <v>38687</v>
      </c>
      <c r="F13">
        <v>4241560</v>
      </c>
      <c r="G13">
        <v>1521174</v>
      </c>
    </row>
    <row r="14" spans="5:7" x14ac:dyDescent="0.2">
      <c r="E14" s="2">
        <v>38718</v>
      </c>
      <c r="F14">
        <v>1240565</v>
      </c>
      <c r="G14">
        <v>317462.39999999997</v>
      </c>
    </row>
    <row r="15" spans="5:7" x14ac:dyDescent="0.2">
      <c r="E15" s="2">
        <v>38749</v>
      </c>
      <c r="F15">
        <v>585547</v>
      </c>
      <c r="G15">
        <v>8818.4</v>
      </c>
    </row>
    <row r="16" spans="5:7" x14ac:dyDescent="0.2">
      <c r="E16" s="2">
        <v>38777</v>
      </c>
      <c r="F16">
        <v>611321</v>
      </c>
      <c r="G16">
        <v>37478.199999999997</v>
      </c>
    </row>
    <row r="17" spans="5:7" x14ac:dyDescent="0.2">
      <c r="E17" s="2">
        <v>38808</v>
      </c>
      <c r="F17">
        <v>897261</v>
      </c>
      <c r="G17">
        <v>15432.199999999999</v>
      </c>
    </row>
    <row r="18" spans="5:7" x14ac:dyDescent="0.2">
      <c r="E18" s="2">
        <v>38838</v>
      </c>
      <c r="F18">
        <v>1816073</v>
      </c>
      <c r="G18">
        <v>30864.399999999998</v>
      </c>
    </row>
    <row r="19" spans="5:7" x14ac:dyDescent="0.2">
      <c r="E19" s="2">
        <v>38869</v>
      </c>
      <c r="F19">
        <v>4270568</v>
      </c>
      <c r="G19">
        <v>469579.8</v>
      </c>
    </row>
    <row r="20" spans="5:7" x14ac:dyDescent="0.2">
      <c r="E20" s="2">
        <v>38899</v>
      </c>
      <c r="F20">
        <v>10928454</v>
      </c>
      <c r="G20">
        <v>4402586.2</v>
      </c>
    </row>
    <row r="21" spans="5:7" x14ac:dyDescent="0.2">
      <c r="E21" s="2">
        <v>38930</v>
      </c>
      <c r="F21">
        <v>13535491</v>
      </c>
      <c r="G21">
        <v>6126583.3999999994</v>
      </c>
    </row>
    <row r="22" spans="5:7" x14ac:dyDescent="0.2">
      <c r="E22" s="2">
        <v>38961</v>
      </c>
      <c r="F22">
        <v>13416558</v>
      </c>
      <c r="G22">
        <v>7627916</v>
      </c>
    </row>
    <row r="23" spans="5:7" x14ac:dyDescent="0.2">
      <c r="E23" s="2">
        <v>38991</v>
      </c>
      <c r="F23">
        <v>16224717</v>
      </c>
      <c r="G23">
        <v>11082524.199999999</v>
      </c>
    </row>
    <row r="24" spans="5:7" x14ac:dyDescent="0.2">
      <c r="E24" s="2">
        <v>39022</v>
      </c>
      <c r="F24">
        <v>8652353</v>
      </c>
      <c r="G24">
        <v>5634957.5999999996</v>
      </c>
    </row>
    <row r="25" spans="5:7" x14ac:dyDescent="0.2">
      <c r="E25" s="2">
        <v>39052</v>
      </c>
      <c r="F25">
        <v>3166919</v>
      </c>
      <c r="G25">
        <v>1267645</v>
      </c>
    </row>
    <row r="26" spans="5:7" x14ac:dyDescent="0.2">
      <c r="E26" s="2">
        <v>39083</v>
      </c>
      <c r="F26">
        <v>670872</v>
      </c>
      <c r="G26">
        <v>156526.6</v>
      </c>
    </row>
    <row r="27" spans="5:7" x14ac:dyDescent="0.2">
      <c r="E27" s="2">
        <v>39114</v>
      </c>
      <c r="F27">
        <v>224176</v>
      </c>
      <c r="G27">
        <v>17636.8</v>
      </c>
    </row>
    <row r="28" spans="5:7" x14ac:dyDescent="0.2">
      <c r="E28" s="2">
        <v>39142</v>
      </c>
      <c r="F28">
        <v>182481</v>
      </c>
      <c r="G28">
        <v>35273.599999999999</v>
      </c>
    </row>
    <row r="29" spans="5:7" x14ac:dyDescent="0.2">
      <c r="E29" s="2">
        <v>39173</v>
      </c>
      <c r="F29">
        <v>396476</v>
      </c>
      <c r="G29">
        <v>11023</v>
      </c>
    </row>
    <row r="30" spans="5:7" x14ac:dyDescent="0.2">
      <c r="E30" s="2">
        <v>39203</v>
      </c>
      <c r="F30">
        <v>1553274</v>
      </c>
      <c r="G30">
        <v>17636.8</v>
      </c>
    </row>
    <row r="31" spans="5:7" x14ac:dyDescent="0.2">
      <c r="E31" s="2">
        <v>39234</v>
      </c>
      <c r="F31">
        <v>1998351</v>
      </c>
      <c r="G31">
        <v>149912.79999999999</v>
      </c>
    </row>
    <row r="32" spans="5:7" x14ac:dyDescent="0.2">
      <c r="E32" s="2">
        <v>39264</v>
      </c>
      <c r="F32">
        <v>7688718</v>
      </c>
      <c r="G32">
        <v>1851864</v>
      </c>
    </row>
    <row r="33" spans="5:7" x14ac:dyDescent="0.2">
      <c r="E33" s="2">
        <v>39295</v>
      </c>
      <c r="F33">
        <v>15614615</v>
      </c>
      <c r="G33">
        <v>8223158</v>
      </c>
    </row>
    <row r="34" spans="5:7" x14ac:dyDescent="0.2">
      <c r="E34" s="2">
        <v>39326</v>
      </c>
      <c r="F34">
        <v>11915731</v>
      </c>
      <c r="G34">
        <v>7306044.3999999994</v>
      </c>
    </row>
    <row r="35" spans="5:7" x14ac:dyDescent="0.2">
      <c r="E35" s="2">
        <v>39356</v>
      </c>
      <c r="F35">
        <v>12783395</v>
      </c>
      <c r="G35">
        <v>7866012.7999999998</v>
      </c>
    </row>
    <row r="36" spans="5:7" x14ac:dyDescent="0.2">
      <c r="E36" s="2">
        <v>39387</v>
      </c>
      <c r="F36">
        <v>7243425</v>
      </c>
      <c r="G36">
        <v>4671547.3999999994</v>
      </c>
    </row>
    <row r="37" spans="5:7" x14ac:dyDescent="0.2">
      <c r="E37" s="2">
        <v>39417</v>
      </c>
      <c r="F37">
        <v>3704445</v>
      </c>
      <c r="G37">
        <v>1335987.5999999999</v>
      </c>
    </row>
    <row r="38" spans="5:7" x14ac:dyDescent="0.2">
      <c r="E38" s="2">
        <v>39448</v>
      </c>
      <c r="F38">
        <v>1098736</v>
      </c>
      <c r="G38">
        <v>339508.39999999997</v>
      </c>
    </row>
    <row r="39" spans="5:7" x14ac:dyDescent="0.2">
      <c r="E39" s="2">
        <v>39479</v>
      </c>
      <c r="F39">
        <v>534986</v>
      </c>
      <c r="G39">
        <v>41887.4</v>
      </c>
    </row>
    <row r="40" spans="5:7" x14ac:dyDescent="0.2">
      <c r="E40" s="2">
        <v>39508</v>
      </c>
      <c r="F40">
        <v>409173</v>
      </c>
      <c r="G40">
        <v>46296.6</v>
      </c>
    </row>
    <row r="41" spans="5:7" x14ac:dyDescent="0.2">
      <c r="E41" s="2">
        <v>39539</v>
      </c>
      <c r="F41">
        <v>956907</v>
      </c>
      <c r="G41">
        <v>59524.2</v>
      </c>
    </row>
    <row r="42" spans="5:7" x14ac:dyDescent="0.2">
      <c r="E42" s="2">
        <v>39569</v>
      </c>
      <c r="F42">
        <v>2253509</v>
      </c>
      <c r="G42">
        <v>191800.19999999998</v>
      </c>
    </row>
    <row r="43" spans="5:7" x14ac:dyDescent="0.2">
      <c r="E43" s="2">
        <v>39600</v>
      </c>
      <c r="F43">
        <v>2236889</v>
      </c>
      <c r="G43">
        <v>136685.19999999998</v>
      </c>
    </row>
    <row r="44" spans="5:7" x14ac:dyDescent="0.2">
      <c r="E44" s="2">
        <v>39630</v>
      </c>
      <c r="F44">
        <v>9404003</v>
      </c>
      <c r="G44">
        <v>3104076.8</v>
      </c>
    </row>
    <row r="45" spans="5:7" x14ac:dyDescent="0.2">
      <c r="E45" s="2">
        <v>39661</v>
      </c>
      <c r="F45">
        <v>14661596</v>
      </c>
      <c r="G45">
        <v>8121746.3999999994</v>
      </c>
    </row>
    <row r="46" spans="5:7" x14ac:dyDescent="0.2">
      <c r="E46" s="2">
        <v>39692</v>
      </c>
      <c r="F46">
        <v>14340012</v>
      </c>
      <c r="G46">
        <v>8368661.5999999996</v>
      </c>
    </row>
    <row r="47" spans="5:7" x14ac:dyDescent="0.2">
      <c r="E47" s="2">
        <v>39722</v>
      </c>
      <c r="F47">
        <v>13395581</v>
      </c>
      <c r="G47">
        <v>5189628.3999999994</v>
      </c>
    </row>
    <row r="48" spans="5:7" x14ac:dyDescent="0.2">
      <c r="E48" s="2">
        <v>39753</v>
      </c>
      <c r="F48">
        <v>8073456</v>
      </c>
      <c r="G48">
        <v>2808660.4</v>
      </c>
    </row>
    <row r="49" spans="5:7" x14ac:dyDescent="0.2">
      <c r="E49" s="2">
        <v>39783</v>
      </c>
      <c r="F49">
        <v>2543657</v>
      </c>
      <c r="G49">
        <v>361554.39999999997</v>
      </c>
    </row>
    <row r="50" spans="5:7" x14ac:dyDescent="0.2">
      <c r="E50" s="2">
        <v>39814</v>
      </c>
      <c r="F50">
        <v>1206768</v>
      </c>
      <c r="G50">
        <v>77161</v>
      </c>
    </row>
    <row r="51" spans="5:7" x14ac:dyDescent="0.2">
      <c r="E51" s="2">
        <v>39845</v>
      </c>
      <c r="F51">
        <v>430092</v>
      </c>
      <c r="G51">
        <v>63933.399999999994</v>
      </c>
    </row>
    <row r="52" spans="5:7" x14ac:dyDescent="0.2">
      <c r="E52" s="2">
        <v>39873</v>
      </c>
      <c r="F52">
        <v>355780</v>
      </c>
      <c r="G52">
        <v>37478.199999999997</v>
      </c>
    </row>
    <row r="53" spans="5:7" x14ac:dyDescent="0.2">
      <c r="E53" s="2">
        <v>39904</v>
      </c>
      <c r="F53">
        <v>849123</v>
      </c>
      <c r="G53">
        <v>8818.4</v>
      </c>
    </row>
    <row r="54" spans="5:7" x14ac:dyDescent="0.2">
      <c r="E54" s="2">
        <v>39934</v>
      </c>
      <c r="F54">
        <v>2142314</v>
      </c>
      <c r="G54">
        <v>191800.19999999998</v>
      </c>
    </row>
    <row r="55" spans="5:7" x14ac:dyDescent="0.2">
      <c r="E55" s="2">
        <v>39965</v>
      </c>
      <c r="F55">
        <v>2321065</v>
      </c>
      <c r="G55">
        <v>88184</v>
      </c>
    </row>
    <row r="56" spans="5:7" x14ac:dyDescent="0.2">
      <c r="E56" s="2">
        <v>39995</v>
      </c>
      <c r="F56">
        <v>9734875</v>
      </c>
      <c r="G56">
        <v>1302918.5999999999</v>
      </c>
    </row>
    <row r="57" spans="5:7" x14ac:dyDescent="0.2">
      <c r="E57" s="2">
        <v>40026</v>
      </c>
      <c r="F57">
        <v>16889829</v>
      </c>
      <c r="G57">
        <v>4744299.2</v>
      </c>
    </row>
    <row r="58" spans="5:7" x14ac:dyDescent="0.2">
      <c r="E58" s="2">
        <v>40057</v>
      </c>
      <c r="F58">
        <v>16892449</v>
      </c>
      <c r="G58">
        <v>5899509.5999999996</v>
      </c>
    </row>
    <row r="59" spans="5:7" x14ac:dyDescent="0.2">
      <c r="E59" s="2">
        <v>40087</v>
      </c>
      <c r="F59">
        <v>15399962</v>
      </c>
      <c r="G59">
        <v>6415386</v>
      </c>
    </row>
    <row r="60" spans="5:7" x14ac:dyDescent="0.2">
      <c r="E60" s="2">
        <v>40118</v>
      </c>
      <c r="F60">
        <v>10482863</v>
      </c>
      <c r="G60">
        <v>5136718</v>
      </c>
    </row>
    <row r="61" spans="5:7" x14ac:dyDescent="0.2">
      <c r="E61" s="2">
        <v>40148</v>
      </c>
      <c r="F61">
        <v>4469517</v>
      </c>
      <c r="G61">
        <v>1840841</v>
      </c>
    </row>
    <row r="62" spans="5:7" x14ac:dyDescent="0.2">
      <c r="E62" s="2">
        <v>40179</v>
      </c>
      <c r="F62">
        <v>1283629</v>
      </c>
      <c r="G62">
        <v>216050.8</v>
      </c>
    </row>
    <row r="63" spans="5:7" x14ac:dyDescent="0.2">
      <c r="E63" s="2">
        <v>40210</v>
      </c>
      <c r="F63">
        <v>349065</v>
      </c>
      <c r="G63">
        <v>13227.599999999999</v>
      </c>
    </row>
    <row r="64" spans="5:7" x14ac:dyDescent="0.2">
      <c r="E64" s="2">
        <v>40238</v>
      </c>
      <c r="F64">
        <v>372948</v>
      </c>
      <c r="G64">
        <v>13227.599999999999</v>
      </c>
    </row>
    <row r="65" spans="5:7" x14ac:dyDescent="0.2">
      <c r="E65" s="2">
        <v>40269</v>
      </c>
      <c r="F65">
        <v>1141694</v>
      </c>
      <c r="G65">
        <v>6613.7999999999993</v>
      </c>
    </row>
    <row r="66" spans="5:7" x14ac:dyDescent="0.2">
      <c r="E66" s="2">
        <v>40299</v>
      </c>
      <c r="F66">
        <v>2535678</v>
      </c>
      <c r="G66">
        <v>224869.19999999998</v>
      </c>
    </row>
    <row r="67" spans="5:7" x14ac:dyDescent="0.2">
      <c r="E67" s="2">
        <v>40330</v>
      </c>
      <c r="F67">
        <v>4783134</v>
      </c>
      <c r="G67">
        <v>526899.4</v>
      </c>
    </row>
    <row r="68" spans="5:7" x14ac:dyDescent="0.2">
      <c r="E68" s="2">
        <v>40360</v>
      </c>
      <c r="F68">
        <v>17566484</v>
      </c>
      <c r="G68">
        <v>6629232.2000000002</v>
      </c>
    </row>
    <row r="69" spans="5:7" x14ac:dyDescent="0.2">
      <c r="E69" s="2">
        <v>40391</v>
      </c>
      <c r="F69">
        <v>20318382</v>
      </c>
      <c r="G69">
        <v>9186568.1999999993</v>
      </c>
    </row>
    <row r="70" spans="5:7" x14ac:dyDescent="0.2">
      <c r="E70" s="2">
        <v>40422</v>
      </c>
      <c r="F70">
        <v>16544120</v>
      </c>
      <c r="G70">
        <v>8580303.1999999993</v>
      </c>
    </row>
    <row r="71" spans="5:7" x14ac:dyDescent="0.2">
      <c r="E71" s="2">
        <v>40452</v>
      </c>
      <c r="F71">
        <v>18301776</v>
      </c>
      <c r="G71">
        <v>11646901.799999999</v>
      </c>
    </row>
    <row r="72" spans="5:7" x14ac:dyDescent="0.2">
      <c r="E72" s="2">
        <v>40483</v>
      </c>
      <c r="F72">
        <v>9944423</v>
      </c>
      <c r="G72">
        <v>5249152.5999999996</v>
      </c>
    </row>
    <row r="73" spans="5:7" x14ac:dyDescent="0.2">
      <c r="E73" s="2">
        <v>40513</v>
      </c>
      <c r="F73">
        <v>3067439</v>
      </c>
      <c r="G73">
        <v>1567470.5999999999</v>
      </c>
    </row>
    <row r="74" spans="5:7" x14ac:dyDescent="0.2">
      <c r="E74" s="2">
        <v>40544</v>
      </c>
      <c r="F74">
        <v>1199375</v>
      </c>
      <c r="G74">
        <v>383600.39999999997</v>
      </c>
    </row>
    <row r="75" spans="5:7" x14ac:dyDescent="0.2">
      <c r="E75" s="2">
        <v>40575</v>
      </c>
      <c r="F75">
        <v>364138</v>
      </c>
      <c r="G75">
        <v>97002.4</v>
      </c>
    </row>
    <row r="76" spans="5:7" x14ac:dyDescent="0.2">
      <c r="E76" s="2">
        <v>40603</v>
      </c>
      <c r="F76">
        <v>508733</v>
      </c>
      <c r="G76">
        <v>37478.199999999997</v>
      </c>
    </row>
    <row r="77" spans="5:7" x14ac:dyDescent="0.2">
      <c r="E77" s="2">
        <v>40634</v>
      </c>
      <c r="F77">
        <v>879722</v>
      </c>
      <c r="G77">
        <v>33069</v>
      </c>
    </row>
    <row r="78" spans="5:7" x14ac:dyDescent="0.2">
      <c r="E78" s="2">
        <v>40664</v>
      </c>
      <c r="F78">
        <v>2427968</v>
      </c>
      <c r="G78">
        <v>127866.79999999999</v>
      </c>
    </row>
    <row r="79" spans="5:7" x14ac:dyDescent="0.2">
      <c r="E79" s="2">
        <v>40695</v>
      </c>
      <c r="F79">
        <v>3526325</v>
      </c>
      <c r="G79">
        <v>218255.4</v>
      </c>
    </row>
    <row r="80" spans="5:7" x14ac:dyDescent="0.2">
      <c r="E80" s="2">
        <v>40725</v>
      </c>
      <c r="F80">
        <v>16645452</v>
      </c>
      <c r="G80">
        <v>8269454.5999999996</v>
      </c>
    </row>
    <row r="81" spans="5:7" x14ac:dyDescent="0.2">
      <c r="E81" s="2">
        <v>40756</v>
      </c>
      <c r="F81">
        <v>27292884</v>
      </c>
      <c r="G81">
        <v>15370471.199999999</v>
      </c>
    </row>
    <row r="82" spans="5:7" x14ac:dyDescent="0.2">
      <c r="E82" s="2">
        <v>40787</v>
      </c>
      <c r="F82">
        <v>20369443</v>
      </c>
      <c r="G82">
        <v>11428646.4</v>
      </c>
    </row>
    <row r="83" spans="5:7" x14ac:dyDescent="0.2">
      <c r="E83" s="2">
        <v>40817</v>
      </c>
      <c r="F83">
        <v>18224545</v>
      </c>
      <c r="G83">
        <v>10359415.4</v>
      </c>
    </row>
    <row r="84" spans="5:7" x14ac:dyDescent="0.2">
      <c r="E84" s="2">
        <v>40848</v>
      </c>
      <c r="F84">
        <v>9735352</v>
      </c>
      <c r="G84">
        <v>4872166</v>
      </c>
    </row>
    <row r="85" spans="5:7" x14ac:dyDescent="0.2">
      <c r="E85" s="2">
        <v>40878</v>
      </c>
      <c r="F85">
        <v>3750792</v>
      </c>
      <c r="G85">
        <v>1150801.2</v>
      </c>
    </row>
    <row r="86" spans="5:7" x14ac:dyDescent="0.2">
      <c r="E86" s="2">
        <v>40909</v>
      </c>
      <c r="F86">
        <v>1349746</v>
      </c>
      <c r="G86">
        <v>224869.19999999998</v>
      </c>
    </row>
    <row r="87" spans="5:7" x14ac:dyDescent="0.2">
      <c r="E87" s="2">
        <v>40940</v>
      </c>
      <c r="F87">
        <v>783866</v>
      </c>
      <c r="G87">
        <v>83774.8</v>
      </c>
    </row>
    <row r="88" spans="5:7" x14ac:dyDescent="0.2">
      <c r="E88" s="2">
        <v>40969</v>
      </c>
      <c r="F88">
        <v>609825</v>
      </c>
      <c r="G88">
        <v>15432.199999999999</v>
      </c>
    </row>
    <row r="89" spans="5:7" x14ac:dyDescent="0.2">
      <c r="E89" s="2">
        <v>41000</v>
      </c>
      <c r="F89">
        <v>1249805</v>
      </c>
      <c r="G89">
        <v>88184</v>
      </c>
    </row>
    <row r="90" spans="5:7" x14ac:dyDescent="0.2">
      <c r="E90" s="2">
        <v>41030</v>
      </c>
      <c r="F90">
        <v>2726086</v>
      </c>
      <c r="G90">
        <v>158731.19999999998</v>
      </c>
    </row>
    <row r="91" spans="5:7" x14ac:dyDescent="0.2">
      <c r="E91" s="2">
        <v>41061</v>
      </c>
      <c r="F91">
        <v>9328006</v>
      </c>
      <c r="G91">
        <v>3483268</v>
      </c>
    </row>
    <row r="92" spans="5:7" x14ac:dyDescent="0.2">
      <c r="E92" s="2">
        <v>41091</v>
      </c>
      <c r="F92">
        <v>26072903</v>
      </c>
      <c r="G92">
        <v>14642953.199999999</v>
      </c>
    </row>
    <row r="93" spans="5:7" x14ac:dyDescent="0.2">
      <c r="E93" s="2">
        <v>41122</v>
      </c>
      <c r="F93">
        <v>25439960</v>
      </c>
      <c r="G93">
        <v>12740383.4</v>
      </c>
    </row>
    <row r="94" spans="5:7" x14ac:dyDescent="0.2">
      <c r="E94" s="2">
        <v>41153</v>
      </c>
      <c r="F94">
        <v>22391100</v>
      </c>
      <c r="G94">
        <v>13639860.199999999</v>
      </c>
    </row>
    <row r="95" spans="5:7" x14ac:dyDescent="0.2">
      <c r="E95" s="2">
        <v>41183</v>
      </c>
      <c r="F95">
        <v>19821432</v>
      </c>
      <c r="G95">
        <v>12896910</v>
      </c>
    </row>
    <row r="96" spans="5:7" x14ac:dyDescent="0.2">
      <c r="E96" s="2">
        <v>41214</v>
      </c>
      <c r="F96">
        <v>13089876</v>
      </c>
      <c r="G96">
        <v>7665394.1999999993</v>
      </c>
    </row>
    <row r="97" spans="5:7" x14ac:dyDescent="0.2">
      <c r="E97" s="2">
        <v>41244</v>
      </c>
      <c r="F97">
        <v>4458817</v>
      </c>
      <c r="G97">
        <v>1609358</v>
      </c>
    </row>
    <row r="98" spans="5:7" x14ac:dyDescent="0.2">
      <c r="E98" s="2">
        <v>41275</v>
      </c>
      <c r="F98">
        <v>1430642</v>
      </c>
      <c r="G98">
        <v>167549.6</v>
      </c>
    </row>
    <row r="99" spans="5:7" x14ac:dyDescent="0.2">
      <c r="E99" s="2">
        <v>41306</v>
      </c>
      <c r="F99">
        <v>577825</v>
      </c>
      <c r="G99">
        <v>37478.199999999997</v>
      </c>
    </row>
    <row r="100" spans="5:7" x14ac:dyDescent="0.2">
      <c r="E100" s="2">
        <v>41334</v>
      </c>
      <c r="F100">
        <v>691316</v>
      </c>
      <c r="G100">
        <v>17636.8</v>
      </c>
    </row>
    <row r="101" spans="5:7" x14ac:dyDescent="0.2">
      <c r="E101" s="2">
        <v>41365</v>
      </c>
      <c r="F101">
        <v>1520736</v>
      </c>
      <c r="G101">
        <v>30864.399999999998</v>
      </c>
    </row>
    <row r="102" spans="5:7" x14ac:dyDescent="0.2">
      <c r="E102" s="2">
        <v>41395</v>
      </c>
      <c r="F102">
        <v>2937813</v>
      </c>
      <c r="G102">
        <v>48501.2</v>
      </c>
    </row>
    <row r="103" spans="5:7" x14ac:dyDescent="0.2">
      <c r="E103" s="2">
        <v>41426</v>
      </c>
      <c r="F103">
        <v>4706678</v>
      </c>
      <c r="G103">
        <v>335099.2</v>
      </c>
    </row>
    <row r="104" spans="5:7" x14ac:dyDescent="0.2">
      <c r="E104" s="2">
        <v>41456</v>
      </c>
      <c r="F104">
        <v>24627366</v>
      </c>
      <c r="G104">
        <v>10103681.799999999</v>
      </c>
    </row>
    <row r="105" spans="5:7" x14ac:dyDescent="0.2">
      <c r="E105" s="2">
        <v>41487</v>
      </c>
      <c r="F105">
        <v>33307648</v>
      </c>
      <c r="G105">
        <v>18002763.599999998</v>
      </c>
    </row>
    <row r="106" spans="5:7" x14ac:dyDescent="0.2">
      <c r="E106" s="2">
        <v>41518</v>
      </c>
      <c r="F106">
        <v>22129219</v>
      </c>
      <c r="G106">
        <v>12634562.6</v>
      </c>
    </row>
    <row r="107" spans="5:7" x14ac:dyDescent="0.2">
      <c r="E107" s="2">
        <v>41548</v>
      </c>
      <c r="F107">
        <v>21876357</v>
      </c>
      <c r="G107">
        <v>13703793.6</v>
      </c>
    </row>
    <row r="108" spans="5:7" x14ac:dyDescent="0.2">
      <c r="E108" s="2">
        <v>41579</v>
      </c>
      <c r="F108">
        <v>9705685</v>
      </c>
      <c r="G108">
        <v>5566615</v>
      </c>
    </row>
    <row r="109" spans="5:7" x14ac:dyDescent="0.2">
      <c r="E109" s="2">
        <v>41609</v>
      </c>
      <c r="F109">
        <v>4297151</v>
      </c>
      <c r="G109">
        <v>1660063.8</v>
      </c>
    </row>
    <row r="110" spans="5:7" x14ac:dyDescent="0.2">
      <c r="E110" s="2">
        <v>41640</v>
      </c>
      <c r="F110">
        <v>1347145</v>
      </c>
      <c r="G110">
        <v>288802.59999999998</v>
      </c>
    </row>
    <row r="111" spans="5:7" x14ac:dyDescent="0.2">
      <c r="E111" s="2">
        <v>41671</v>
      </c>
      <c r="F111">
        <v>931391</v>
      </c>
      <c r="G111">
        <v>59524.2</v>
      </c>
    </row>
    <row r="112" spans="5:7" x14ac:dyDescent="0.2">
      <c r="E112" s="2">
        <v>41699</v>
      </c>
      <c r="F112">
        <v>801628</v>
      </c>
      <c r="G112">
        <v>37478.199999999997</v>
      </c>
    </row>
    <row r="113" spans="5:7" x14ac:dyDescent="0.2">
      <c r="E113" s="2">
        <v>41730</v>
      </c>
      <c r="F113">
        <v>1288690</v>
      </c>
      <c r="G113">
        <v>17636.8</v>
      </c>
    </row>
    <row r="114" spans="5:7" x14ac:dyDescent="0.2">
      <c r="E114" s="2">
        <v>41760</v>
      </c>
      <c r="F114">
        <v>3181174</v>
      </c>
      <c r="G114">
        <v>266756.59999999998</v>
      </c>
    </row>
    <row r="115" spans="5:7" x14ac:dyDescent="0.2">
      <c r="E115" s="2">
        <v>41791</v>
      </c>
      <c r="F115">
        <v>3490772</v>
      </c>
      <c r="G115">
        <v>489421.19999999995</v>
      </c>
    </row>
    <row r="116" spans="5:7" x14ac:dyDescent="0.2">
      <c r="E116" s="2">
        <v>41821</v>
      </c>
      <c r="F116">
        <v>12608254</v>
      </c>
      <c r="G116">
        <v>3536178.4</v>
      </c>
    </row>
    <row r="117" spans="5:7" x14ac:dyDescent="0.2">
      <c r="E117" s="2">
        <v>41852</v>
      </c>
      <c r="F117">
        <v>29441629</v>
      </c>
      <c r="G117">
        <v>16360336.6</v>
      </c>
    </row>
    <row r="118" spans="5:7" x14ac:dyDescent="0.2">
      <c r="E118" s="2">
        <v>41883</v>
      </c>
      <c r="F118">
        <v>26514184</v>
      </c>
      <c r="G118">
        <v>17325951.399999999</v>
      </c>
    </row>
    <row r="119" spans="5:7" x14ac:dyDescent="0.2">
      <c r="E119" s="2">
        <v>41913</v>
      </c>
      <c r="F119">
        <v>27197928</v>
      </c>
      <c r="G119">
        <v>18701621.800000001</v>
      </c>
    </row>
    <row r="120" spans="5:7" x14ac:dyDescent="0.2">
      <c r="E120" s="2">
        <v>41944</v>
      </c>
      <c r="F120">
        <v>11915627</v>
      </c>
      <c r="G120">
        <v>8910993.1999999993</v>
      </c>
    </row>
    <row r="121" spans="5:7" x14ac:dyDescent="0.2">
      <c r="E121" s="2">
        <v>41974</v>
      </c>
      <c r="F121">
        <v>5607502</v>
      </c>
      <c r="G121">
        <v>2702839.6</v>
      </c>
    </row>
    <row r="122" spans="5:7" x14ac:dyDescent="0.2">
      <c r="E122" s="2">
        <v>42005</v>
      </c>
      <c r="F122">
        <v>1385509</v>
      </c>
      <c r="G122">
        <v>460761.39999999997</v>
      </c>
    </row>
    <row r="123" spans="5:7" x14ac:dyDescent="0.2">
      <c r="E123" s="2">
        <v>42036</v>
      </c>
      <c r="F123">
        <v>426769</v>
      </c>
      <c r="G123">
        <v>99207</v>
      </c>
    </row>
    <row r="124" spans="5:7" x14ac:dyDescent="0.2">
      <c r="E124" s="2">
        <v>42064</v>
      </c>
      <c r="F124">
        <v>860172</v>
      </c>
      <c r="G124">
        <v>19841.399999999998</v>
      </c>
    </row>
    <row r="125" spans="5:7" x14ac:dyDescent="0.2">
      <c r="E125" s="2">
        <v>42095</v>
      </c>
      <c r="F125">
        <v>1269222</v>
      </c>
      <c r="G125">
        <v>13227.599999999999</v>
      </c>
    </row>
    <row r="126" spans="5:7" x14ac:dyDescent="0.2">
      <c r="E126" s="2">
        <v>42125</v>
      </c>
      <c r="F126">
        <v>2629408</v>
      </c>
      <c r="G126">
        <v>37478.199999999997</v>
      </c>
    </row>
    <row r="127" spans="5:7" x14ac:dyDescent="0.2">
      <c r="E127" s="2">
        <v>42156</v>
      </c>
      <c r="F127">
        <v>3897891</v>
      </c>
      <c r="G127">
        <v>103616.2</v>
      </c>
    </row>
    <row r="128" spans="5:7" x14ac:dyDescent="0.2">
      <c r="E128" s="2">
        <v>42186</v>
      </c>
      <c r="F128">
        <v>14181965</v>
      </c>
      <c r="G128">
        <v>4451087.3999999994</v>
      </c>
    </row>
    <row r="129" spans="5:7" x14ac:dyDescent="0.2">
      <c r="E129" s="2">
        <v>42217</v>
      </c>
      <c r="F129">
        <v>28737000</v>
      </c>
      <c r="G129">
        <v>16230265.199999999</v>
      </c>
    </row>
    <row r="130" spans="5:7" x14ac:dyDescent="0.2">
      <c r="E130" s="2">
        <v>42248</v>
      </c>
      <c r="F130">
        <v>24591033</v>
      </c>
      <c r="G130">
        <v>15557862.199999999</v>
      </c>
    </row>
    <row r="131" spans="5:7" x14ac:dyDescent="0.2">
      <c r="E131" s="2">
        <v>42278</v>
      </c>
      <c r="F131">
        <v>21909689</v>
      </c>
      <c r="G131">
        <v>14656180.799999999</v>
      </c>
    </row>
    <row r="132" spans="5:7" x14ac:dyDescent="0.2">
      <c r="E132" s="2">
        <v>42309</v>
      </c>
      <c r="F132">
        <v>15470582</v>
      </c>
      <c r="G132">
        <v>10685696.199999999</v>
      </c>
    </row>
    <row r="133" spans="5:7" x14ac:dyDescent="0.2">
      <c r="E133" s="2">
        <v>42339</v>
      </c>
      <c r="F133">
        <v>7304151</v>
      </c>
      <c r="G133">
        <v>4025599.5999999996</v>
      </c>
    </row>
    <row r="134" spans="5:7" x14ac:dyDescent="0.2">
      <c r="E134" s="2">
        <v>42370</v>
      </c>
      <c r="F134">
        <v>2592468</v>
      </c>
      <c r="G134">
        <v>859794</v>
      </c>
    </row>
    <row r="135" spans="5:7" x14ac:dyDescent="0.2">
      <c r="E135" s="2">
        <v>42401</v>
      </c>
      <c r="F135">
        <v>1080643</v>
      </c>
      <c r="G135">
        <v>125662.2</v>
      </c>
    </row>
    <row r="136" spans="5:7" x14ac:dyDescent="0.2">
      <c r="E136" s="2">
        <v>42430</v>
      </c>
      <c r="F136">
        <v>974705</v>
      </c>
      <c r="G136">
        <v>35273.599999999999</v>
      </c>
    </row>
    <row r="137" spans="5:7" x14ac:dyDescent="0.2">
      <c r="E137" s="2">
        <v>42461</v>
      </c>
      <c r="F137">
        <v>1737594</v>
      </c>
      <c r="G137">
        <v>11023</v>
      </c>
    </row>
    <row r="138" spans="5:7" x14ac:dyDescent="0.2">
      <c r="E138" s="2">
        <v>42491</v>
      </c>
      <c r="F138">
        <v>3278183</v>
      </c>
      <c r="G138">
        <v>116843.79999999999</v>
      </c>
    </row>
    <row r="139" spans="5:7" x14ac:dyDescent="0.2">
      <c r="E139" s="2">
        <v>42522</v>
      </c>
      <c r="F139">
        <v>7621455</v>
      </c>
      <c r="G139">
        <v>1280872.5999999999</v>
      </c>
    </row>
    <row r="140" spans="5:7" x14ac:dyDescent="0.2">
      <c r="E140" s="2">
        <v>42552</v>
      </c>
      <c r="F140">
        <v>25103629</v>
      </c>
      <c r="G140">
        <v>13558290</v>
      </c>
    </row>
    <row r="141" spans="5:7" x14ac:dyDescent="0.2">
      <c r="E141" s="2">
        <v>42583</v>
      </c>
      <c r="F141">
        <v>25051027</v>
      </c>
      <c r="G141">
        <v>12286235.799999999</v>
      </c>
    </row>
    <row r="142" spans="5:7" x14ac:dyDescent="0.2">
      <c r="E142" s="2">
        <v>42614</v>
      </c>
      <c r="F142">
        <v>21463481</v>
      </c>
      <c r="G142">
        <v>12735974.199999999</v>
      </c>
    </row>
    <row r="143" spans="5:7" x14ac:dyDescent="0.2">
      <c r="E143" s="2">
        <v>42644</v>
      </c>
      <c r="F143">
        <v>22704185</v>
      </c>
      <c r="G143">
        <v>15143397.399999999</v>
      </c>
    </row>
    <row r="144" spans="5:7" x14ac:dyDescent="0.2">
      <c r="E144" s="2">
        <v>42675</v>
      </c>
      <c r="F144">
        <v>15642648</v>
      </c>
      <c r="G144">
        <v>10826790.6</v>
      </c>
    </row>
    <row r="145" spans="5:7" x14ac:dyDescent="0.2">
      <c r="E145" s="2">
        <v>42705</v>
      </c>
      <c r="F145">
        <v>5354673</v>
      </c>
      <c r="G145">
        <v>1880523.7999999998</v>
      </c>
    </row>
    <row r="146" spans="5:7" x14ac:dyDescent="0.2">
      <c r="E146" s="2">
        <v>42736</v>
      </c>
      <c r="F146">
        <v>2614344</v>
      </c>
      <c r="G146">
        <v>207232.4</v>
      </c>
    </row>
    <row r="147" spans="5:7" x14ac:dyDescent="0.2">
      <c r="E147" s="2">
        <v>42767</v>
      </c>
      <c r="F147">
        <v>796297</v>
      </c>
      <c r="G147">
        <v>108025.4</v>
      </c>
    </row>
    <row r="148" spans="5:7" x14ac:dyDescent="0.2">
      <c r="E148" s="2">
        <v>42795</v>
      </c>
      <c r="F148">
        <v>907381</v>
      </c>
      <c r="G148">
        <v>52910.399999999994</v>
      </c>
    </row>
    <row r="149" spans="5:7" x14ac:dyDescent="0.2">
      <c r="E149" s="2">
        <v>42826</v>
      </c>
      <c r="F149">
        <v>1320191</v>
      </c>
      <c r="G149">
        <v>35273.599999999999</v>
      </c>
    </row>
    <row r="150" spans="5:7" x14ac:dyDescent="0.2">
      <c r="E150" s="2">
        <v>42856</v>
      </c>
      <c r="F150">
        <v>2714097</v>
      </c>
      <c r="G150">
        <v>63933.399999999994</v>
      </c>
    </row>
    <row r="151" spans="5:7" x14ac:dyDescent="0.2">
      <c r="E151" s="2">
        <v>42887</v>
      </c>
      <c r="F151">
        <v>3247028</v>
      </c>
      <c r="G151">
        <v>152117.4</v>
      </c>
    </row>
    <row r="152" spans="5:7" x14ac:dyDescent="0.2">
      <c r="E152" s="2">
        <v>42917</v>
      </c>
      <c r="F152">
        <v>14512376</v>
      </c>
      <c r="G152">
        <v>4503997.8</v>
      </c>
    </row>
    <row r="153" spans="5:7" x14ac:dyDescent="0.2">
      <c r="E153" s="2">
        <v>42948</v>
      </c>
      <c r="F153">
        <v>28591997</v>
      </c>
      <c r="G153">
        <v>15857687.799999999</v>
      </c>
    </row>
    <row r="154" spans="5:7" x14ac:dyDescent="0.2">
      <c r="E154" s="2">
        <v>42979</v>
      </c>
      <c r="F154">
        <v>18188144</v>
      </c>
      <c r="G154">
        <v>9144680.7999999989</v>
      </c>
    </row>
    <row r="155" spans="5:7" x14ac:dyDescent="0.2">
      <c r="E155" s="2">
        <v>43009</v>
      </c>
      <c r="F155">
        <v>19673583</v>
      </c>
      <c r="G155">
        <v>13112960.799999999</v>
      </c>
    </row>
    <row r="156" spans="5:7" x14ac:dyDescent="0.2">
      <c r="E156" s="2">
        <v>43040</v>
      </c>
      <c r="F156">
        <v>14379535</v>
      </c>
      <c r="G156">
        <v>7694054</v>
      </c>
    </row>
    <row r="157" spans="5:7" x14ac:dyDescent="0.2">
      <c r="E157" s="2">
        <v>43070</v>
      </c>
      <c r="F157">
        <v>5156238</v>
      </c>
      <c r="G157">
        <v>1944457.2</v>
      </c>
    </row>
    <row r="158" spans="5:7" x14ac:dyDescent="0.2">
      <c r="E158" s="2">
        <v>43101</v>
      </c>
      <c r="F158">
        <v>2535614</v>
      </c>
      <c r="G158">
        <v>224869.19999999998</v>
      </c>
    </row>
    <row r="159" spans="5:7" x14ac:dyDescent="0.2">
      <c r="E159" s="2">
        <v>43132</v>
      </c>
      <c r="F159">
        <v>1506909</v>
      </c>
      <c r="G159">
        <v>145503.6</v>
      </c>
    </row>
    <row r="160" spans="5:7" x14ac:dyDescent="0.2">
      <c r="E160" s="2">
        <v>43160</v>
      </c>
      <c r="F160">
        <v>1301995</v>
      </c>
      <c r="G160">
        <v>158731.19999999998</v>
      </c>
    </row>
    <row r="161" spans="5:7" x14ac:dyDescent="0.2">
      <c r="E161" s="2">
        <v>43191</v>
      </c>
      <c r="F161">
        <v>1631224</v>
      </c>
      <c r="G161">
        <v>13227.599999999999</v>
      </c>
    </row>
    <row r="162" spans="5:7" x14ac:dyDescent="0.2">
      <c r="E162" s="2">
        <v>43221</v>
      </c>
      <c r="F162">
        <v>2648213</v>
      </c>
      <c r="G162">
        <v>24250.6</v>
      </c>
    </row>
    <row r="163" spans="5:7" x14ac:dyDescent="0.2">
      <c r="E163" s="2">
        <v>43252</v>
      </c>
      <c r="F163">
        <v>3406083</v>
      </c>
      <c r="G163">
        <v>123457.59999999999</v>
      </c>
    </row>
    <row r="164" spans="5:7" x14ac:dyDescent="0.2">
      <c r="E164" s="2">
        <v>43282</v>
      </c>
      <c r="F164">
        <v>21230043</v>
      </c>
      <c r="G164">
        <v>10681287</v>
      </c>
    </row>
    <row r="165" spans="5:7" x14ac:dyDescent="0.2">
      <c r="E165" s="2">
        <v>43313</v>
      </c>
      <c r="F165">
        <v>27081225</v>
      </c>
      <c r="G165">
        <v>16186173.199999999</v>
      </c>
    </row>
    <row r="166" spans="5:7" x14ac:dyDescent="0.2">
      <c r="E166" s="2">
        <v>43344</v>
      </c>
      <c r="F166">
        <v>20026609</v>
      </c>
      <c r="G166">
        <v>11999637.799999999</v>
      </c>
    </row>
    <row r="167" spans="5:7" x14ac:dyDescent="0.2">
      <c r="E167" s="2">
        <v>43374</v>
      </c>
      <c r="F167">
        <v>21164596</v>
      </c>
      <c r="G167">
        <v>13494356.6</v>
      </c>
    </row>
    <row r="168" spans="5:7" x14ac:dyDescent="0.2">
      <c r="E168" s="2">
        <v>43405</v>
      </c>
      <c r="F168">
        <v>11714344</v>
      </c>
      <c r="G168">
        <v>6552071.2000000002</v>
      </c>
    </row>
    <row r="169" spans="5:7" x14ac:dyDescent="0.2">
      <c r="E169" s="2">
        <v>43435</v>
      </c>
      <c r="F169">
        <v>6793132</v>
      </c>
      <c r="G169">
        <v>2733704</v>
      </c>
    </row>
    <row r="170" spans="5:7" x14ac:dyDescent="0.2">
      <c r="E170" s="2">
        <v>43466</v>
      </c>
      <c r="F170">
        <v>1820410</v>
      </c>
      <c r="G170">
        <v>822315.79999999993</v>
      </c>
    </row>
    <row r="171" spans="5:7" x14ac:dyDescent="0.2">
      <c r="E171" s="2">
        <v>43497</v>
      </c>
      <c r="F171">
        <v>1174860</v>
      </c>
      <c r="G171">
        <v>202823.19999999998</v>
      </c>
    </row>
    <row r="172" spans="5:7" x14ac:dyDescent="0.2">
      <c r="E172" s="2">
        <v>43525</v>
      </c>
      <c r="F172">
        <v>1073151</v>
      </c>
      <c r="G172">
        <v>304234.8</v>
      </c>
    </row>
    <row r="173" spans="5:7" x14ac:dyDescent="0.2">
      <c r="E173" s="2">
        <v>43556</v>
      </c>
      <c r="F173">
        <v>1260684</v>
      </c>
      <c r="G173">
        <v>218255.4</v>
      </c>
    </row>
    <row r="174" spans="5:7" x14ac:dyDescent="0.2">
      <c r="E174" s="2">
        <v>43586</v>
      </c>
      <c r="F174">
        <v>2346789</v>
      </c>
      <c r="G174">
        <v>180777.19999999998</v>
      </c>
    </row>
    <row r="175" spans="5:7" x14ac:dyDescent="0.2">
      <c r="E175" s="2">
        <v>43617</v>
      </c>
      <c r="F175">
        <v>2312688</v>
      </c>
      <c r="G175">
        <v>279984.2</v>
      </c>
    </row>
    <row r="176" spans="5:7" x14ac:dyDescent="0.2">
      <c r="E176" s="2">
        <v>43647</v>
      </c>
      <c r="F176">
        <v>8635809</v>
      </c>
      <c r="G176">
        <v>2189167.7999999998</v>
      </c>
    </row>
    <row r="177" spans="5:7" x14ac:dyDescent="0.2">
      <c r="E177" s="2">
        <v>43678</v>
      </c>
      <c r="F177">
        <v>22450711</v>
      </c>
      <c r="G177">
        <v>12978480.199999999</v>
      </c>
    </row>
    <row r="178" spans="5:7" x14ac:dyDescent="0.2">
      <c r="E178" s="2">
        <v>43709</v>
      </c>
      <c r="F178">
        <v>18419820</v>
      </c>
      <c r="G178">
        <v>11455101.6</v>
      </c>
    </row>
    <row r="179" spans="5:7" x14ac:dyDescent="0.2">
      <c r="E179" s="2">
        <v>43739</v>
      </c>
      <c r="F179">
        <v>21577051</v>
      </c>
      <c r="G179">
        <v>14177782.6</v>
      </c>
    </row>
    <row r="180" spans="5:7" x14ac:dyDescent="0.2">
      <c r="E180" s="2">
        <v>43770</v>
      </c>
      <c r="F180">
        <v>13859494</v>
      </c>
      <c r="G180">
        <v>8690533.1999999993</v>
      </c>
    </row>
    <row r="181" spans="5:7" x14ac:dyDescent="0.2">
      <c r="E181" s="2">
        <v>43800</v>
      </c>
      <c r="F181">
        <v>7320009</v>
      </c>
      <c r="G181">
        <v>2795432.8</v>
      </c>
    </row>
    <row r="182" spans="5:7" x14ac:dyDescent="0.2">
      <c r="E182" s="2">
        <v>43831</v>
      </c>
      <c r="F182">
        <v>3038352</v>
      </c>
      <c r="G182">
        <v>507058</v>
      </c>
    </row>
    <row r="183" spans="5:7" x14ac:dyDescent="0.2">
      <c r="E183" s="2">
        <v>43862</v>
      </c>
      <c r="F183">
        <v>977173</v>
      </c>
      <c r="G183">
        <v>121253</v>
      </c>
    </row>
    <row r="184" spans="5:7" x14ac:dyDescent="0.2">
      <c r="E184" s="2">
        <v>43891</v>
      </c>
      <c r="F184">
        <v>544696</v>
      </c>
      <c r="G184">
        <v>57319.6</v>
      </c>
    </row>
    <row r="185" spans="5:7" x14ac:dyDescent="0.2">
      <c r="E185" s="2">
        <v>43922</v>
      </c>
      <c r="F185">
        <v>786222</v>
      </c>
      <c r="G185">
        <v>4409.2</v>
      </c>
    </row>
    <row r="186" spans="5:7" x14ac:dyDescent="0.2">
      <c r="E186" s="2">
        <v>43952</v>
      </c>
      <c r="F186">
        <v>1376150</v>
      </c>
      <c r="G186">
        <v>15432.199999999999</v>
      </c>
    </row>
    <row r="187" spans="5:7" x14ac:dyDescent="0.2">
      <c r="E187" s="2">
        <v>43983</v>
      </c>
      <c r="F187">
        <v>2751280</v>
      </c>
      <c r="G187">
        <v>116843.79999999999</v>
      </c>
    </row>
    <row r="188" spans="5:7" x14ac:dyDescent="0.2">
      <c r="E188" s="2">
        <v>44013</v>
      </c>
      <c r="F188">
        <v>16569356</v>
      </c>
      <c r="G188">
        <v>8485505.4000000004</v>
      </c>
    </row>
    <row r="189" spans="5:7" x14ac:dyDescent="0.2">
      <c r="E189" s="2">
        <v>44044</v>
      </c>
      <c r="F189">
        <v>17599948</v>
      </c>
      <c r="G189">
        <v>7295021.3999999994</v>
      </c>
    </row>
    <row r="190" spans="5:7" x14ac:dyDescent="0.2">
      <c r="E190" s="2">
        <v>44075</v>
      </c>
      <c r="F190">
        <v>15470795</v>
      </c>
      <c r="G190">
        <v>5524727.5999999996</v>
      </c>
    </row>
    <row r="191" spans="5:7" x14ac:dyDescent="0.2">
      <c r="E191" s="2">
        <v>44105</v>
      </c>
      <c r="F191">
        <v>20627237</v>
      </c>
      <c r="G191">
        <v>10738606.6</v>
      </c>
    </row>
    <row r="192" spans="5:7" x14ac:dyDescent="0.2">
      <c r="E192" s="2">
        <v>44136</v>
      </c>
      <c r="F192">
        <v>12776981</v>
      </c>
      <c r="G192">
        <v>6675528.7999999998</v>
      </c>
    </row>
    <row r="193" spans="5:7" x14ac:dyDescent="0.2">
      <c r="E193" s="2">
        <v>44166</v>
      </c>
      <c r="F193">
        <v>5436400</v>
      </c>
      <c r="G193">
        <v>1391102.5999999999</v>
      </c>
    </row>
    <row r="194" spans="5:7" x14ac:dyDescent="0.2">
      <c r="E194" s="2">
        <v>44197</v>
      </c>
      <c r="F194">
        <v>3687177</v>
      </c>
      <c r="G194">
        <v>718699.6</v>
      </c>
    </row>
    <row r="195" spans="5:7" x14ac:dyDescent="0.2">
      <c r="E195" s="2">
        <v>44228</v>
      </c>
      <c r="F195">
        <v>1161065</v>
      </c>
      <c r="G195">
        <v>30864.399999999998</v>
      </c>
    </row>
    <row r="196" spans="5:7" x14ac:dyDescent="0.2">
      <c r="E196" s="2">
        <v>44256</v>
      </c>
      <c r="F196">
        <v>1096759</v>
      </c>
      <c r="G196">
        <v>30864.399999999998</v>
      </c>
    </row>
    <row r="197" spans="5:7" x14ac:dyDescent="0.2">
      <c r="E197" s="2">
        <v>44287</v>
      </c>
      <c r="F197">
        <v>1279616</v>
      </c>
      <c r="G197">
        <v>4409.2</v>
      </c>
    </row>
    <row r="198" spans="5:7" x14ac:dyDescent="0.2">
      <c r="E198" s="2">
        <v>44317</v>
      </c>
      <c r="F198">
        <v>2215979</v>
      </c>
      <c r="G198">
        <v>202823.19999999998</v>
      </c>
    </row>
    <row r="199" spans="5:7" x14ac:dyDescent="0.2">
      <c r="E199" s="2">
        <v>44348</v>
      </c>
      <c r="F199">
        <v>5946857</v>
      </c>
      <c r="G199">
        <v>1102300</v>
      </c>
    </row>
    <row r="200" spans="5:7" x14ac:dyDescent="0.2">
      <c r="E200" s="2">
        <v>44378</v>
      </c>
      <c r="F200">
        <v>20015469</v>
      </c>
      <c r="G200">
        <v>11472738.4</v>
      </c>
    </row>
    <row r="201" spans="5:7" x14ac:dyDescent="0.2">
      <c r="E201" s="2">
        <v>44409</v>
      </c>
      <c r="F201">
        <v>17104641</v>
      </c>
      <c r="G201">
        <v>9243887.7999999989</v>
      </c>
    </row>
    <row r="202" spans="5:7" x14ac:dyDescent="0.2">
      <c r="E202" s="2">
        <v>44440</v>
      </c>
      <c r="F202">
        <v>18127035</v>
      </c>
      <c r="G202">
        <v>10416735</v>
      </c>
    </row>
    <row r="203" spans="5:7" x14ac:dyDescent="0.2">
      <c r="E203" s="2">
        <v>44470</v>
      </c>
      <c r="F203">
        <v>19948912</v>
      </c>
      <c r="G203">
        <v>12149550.6</v>
      </c>
    </row>
    <row r="204" spans="5:7" x14ac:dyDescent="0.2">
      <c r="E204" s="2">
        <v>44501</v>
      </c>
      <c r="F204">
        <v>14512878</v>
      </c>
      <c r="G204">
        <v>7874831.1999999993</v>
      </c>
    </row>
    <row r="205" spans="5:7" x14ac:dyDescent="0.2">
      <c r="E205" s="2">
        <v>44531</v>
      </c>
      <c r="F205">
        <v>5586804</v>
      </c>
      <c r="G205">
        <v>1441808.4</v>
      </c>
    </row>
    <row r="206" spans="5:7" x14ac:dyDescent="0.2">
      <c r="E206" s="2">
        <v>44562</v>
      </c>
      <c r="F206">
        <v>1001658</v>
      </c>
      <c r="G206">
        <v>350531.39999999997</v>
      </c>
    </row>
    <row r="207" spans="5:7" x14ac:dyDescent="0.2">
      <c r="E207" s="2">
        <v>44593</v>
      </c>
      <c r="F207">
        <v>402954</v>
      </c>
      <c r="G207">
        <v>17636.8</v>
      </c>
    </row>
    <row r="208" spans="5:7" x14ac:dyDescent="0.2">
      <c r="E208" s="2">
        <v>44621</v>
      </c>
      <c r="F208">
        <v>755951</v>
      </c>
      <c r="G208">
        <v>6613.7999999999993</v>
      </c>
    </row>
    <row r="209" spans="5:7" x14ac:dyDescent="0.2">
      <c r="E209" s="2">
        <v>44652</v>
      </c>
      <c r="F209">
        <v>1021257</v>
      </c>
      <c r="G209">
        <v>2204.6</v>
      </c>
    </row>
    <row r="210" spans="5:7" x14ac:dyDescent="0.2">
      <c r="E210" s="2">
        <v>44682</v>
      </c>
      <c r="F210">
        <v>2396833</v>
      </c>
      <c r="G210">
        <v>198414</v>
      </c>
    </row>
    <row r="211" spans="5:7" x14ac:dyDescent="0.2">
      <c r="E211" s="2">
        <v>44713</v>
      </c>
      <c r="F211">
        <v>4747154</v>
      </c>
      <c r="G211">
        <v>667993.79999999993</v>
      </c>
    </row>
    <row r="212" spans="5:7" x14ac:dyDescent="0.2">
      <c r="E212" s="2">
        <v>44743</v>
      </c>
      <c r="F212">
        <v>19175769</v>
      </c>
      <c r="G212">
        <v>8225362.5999999996</v>
      </c>
    </row>
    <row r="213" spans="5:7" x14ac:dyDescent="0.2">
      <c r="E213" s="2">
        <v>44774</v>
      </c>
      <c r="F213">
        <v>21068205</v>
      </c>
      <c r="G213">
        <v>9056496.7999999989</v>
      </c>
    </row>
    <row r="214" spans="5:7" x14ac:dyDescent="0.2">
      <c r="E214" s="2">
        <v>44805</v>
      </c>
      <c r="F214">
        <v>16179496</v>
      </c>
      <c r="G214">
        <v>6172880</v>
      </c>
    </row>
    <row r="215" spans="5:7" x14ac:dyDescent="0.2">
      <c r="E215" s="2">
        <v>44835</v>
      </c>
      <c r="F215">
        <v>16160636</v>
      </c>
      <c r="G215">
        <v>8106314.1999999993</v>
      </c>
    </row>
    <row r="216" spans="5:7" x14ac:dyDescent="0.2">
      <c r="E216" s="2">
        <v>44866</v>
      </c>
      <c r="F216">
        <v>11024016</v>
      </c>
      <c r="G216">
        <v>4592181.8</v>
      </c>
    </row>
    <row r="217" spans="5:7" x14ac:dyDescent="0.2">
      <c r="E217" s="2">
        <v>44896</v>
      </c>
      <c r="F217">
        <v>4819828</v>
      </c>
      <c r="G217">
        <v>1053798.8</v>
      </c>
    </row>
    <row r="218" spans="5:7" x14ac:dyDescent="0.2">
      <c r="E218" s="2">
        <v>44927</v>
      </c>
      <c r="F218">
        <v>2135071</v>
      </c>
      <c r="G218">
        <v>235892.19999999998</v>
      </c>
    </row>
    <row r="219" spans="5:7" x14ac:dyDescent="0.2">
      <c r="E219" s="2">
        <v>44958</v>
      </c>
      <c r="F219">
        <v>1091901</v>
      </c>
      <c r="G219">
        <v>22046</v>
      </c>
    </row>
    <row r="220" spans="5:7" x14ac:dyDescent="0.2">
      <c r="E220" s="2">
        <v>44986</v>
      </c>
      <c r="F220">
        <v>854917</v>
      </c>
      <c r="G220">
        <v>17636.8</v>
      </c>
    </row>
    <row r="221" spans="5:7" x14ac:dyDescent="0.2">
      <c r="E221" s="2">
        <v>45017</v>
      </c>
      <c r="F221">
        <v>1401412</v>
      </c>
      <c r="G221">
        <v>2204.6</v>
      </c>
    </row>
    <row r="222" spans="5:7" x14ac:dyDescent="0.2">
      <c r="E222" s="2">
        <v>45047</v>
      </c>
      <c r="F222">
        <v>2498064</v>
      </c>
      <c r="G222">
        <v>13227.599999999999</v>
      </c>
    </row>
    <row r="223" spans="5:7" x14ac:dyDescent="0.2">
      <c r="E223" s="2">
        <v>45078</v>
      </c>
      <c r="F223">
        <v>5337727</v>
      </c>
      <c r="G223">
        <v>476193.6</v>
      </c>
    </row>
    <row r="224" spans="5:7" x14ac:dyDescent="0.2">
      <c r="E224" s="2">
        <v>45108</v>
      </c>
      <c r="F224">
        <v>17953696</v>
      </c>
      <c r="G224">
        <v>7848376</v>
      </c>
    </row>
    <row r="225" spans="5:7" x14ac:dyDescent="0.2">
      <c r="E225" s="2">
        <v>45139</v>
      </c>
      <c r="F225">
        <v>18530603</v>
      </c>
      <c r="G225">
        <v>7259747.7999999998</v>
      </c>
    </row>
    <row r="226" spans="5:7" x14ac:dyDescent="0.2">
      <c r="E226" s="2">
        <v>45170</v>
      </c>
      <c r="F226">
        <v>14693132</v>
      </c>
      <c r="G226">
        <v>5685663.3999999994</v>
      </c>
    </row>
    <row r="227" spans="5:7" x14ac:dyDescent="0.2">
      <c r="E227" s="2">
        <v>45200</v>
      </c>
      <c r="F227">
        <v>14659705</v>
      </c>
      <c r="G227">
        <v>7323681.1999999993</v>
      </c>
    </row>
    <row r="228" spans="5:7" x14ac:dyDescent="0.2">
      <c r="E228" s="2">
        <v>45231</v>
      </c>
      <c r="F228">
        <v>9214944</v>
      </c>
      <c r="G228">
        <v>4056464</v>
      </c>
    </row>
    <row r="229" spans="5:7" x14ac:dyDescent="0.2">
      <c r="E229" s="2">
        <v>45261</v>
      </c>
      <c r="F229">
        <v>5362945</v>
      </c>
      <c r="G229">
        <v>1027343.6</v>
      </c>
    </row>
    <row r="230" spans="5:7" x14ac:dyDescent="0.2">
      <c r="E230" s="2">
        <v>45292</v>
      </c>
      <c r="F230" s="3">
        <v>2468744</v>
      </c>
      <c r="G230">
        <v>383600.39999999997</v>
      </c>
    </row>
    <row r="231" spans="5:7" x14ac:dyDescent="0.2">
      <c r="E231" s="2">
        <v>45323</v>
      </c>
      <c r="F231" s="3">
        <v>1220791</v>
      </c>
      <c r="G231">
        <v>24250.6</v>
      </c>
    </row>
    <row r="232" spans="5:7" x14ac:dyDescent="0.2">
      <c r="E232" s="2">
        <v>45352</v>
      </c>
      <c r="F232" s="3">
        <v>1074592</v>
      </c>
      <c r="G232">
        <v>13227.599999999999</v>
      </c>
    </row>
    <row r="233" spans="5:7" x14ac:dyDescent="0.2">
      <c r="E233" s="2">
        <v>45383</v>
      </c>
      <c r="F233" s="3">
        <v>1159823</v>
      </c>
      <c r="G233">
        <v>8818.4</v>
      </c>
    </row>
    <row r="234" spans="5:7" x14ac:dyDescent="0.2">
      <c r="E234" s="2">
        <v>45413</v>
      </c>
      <c r="F234" s="3">
        <v>2508668</v>
      </c>
      <c r="G234">
        <v>90388.599999999991</v>
      </c>
    </row>
    <row r="235" spans="5:7" x14ac:dyDescent="0.2">
      <c r="E235" s="2">
        <v>45444</v>
      </c>
      <c r="F235" s="3">
        <v>3586193</v>
      </c>
      <c r="G235">
        <v>275575</v>
      </c>
    </row>
    <row r="236" spans="5:7" x14ac:dyDescent="0.2">
      <c r="E236" s="2">
        <v>45474</v>
      </c>
      <c r="F236" s="3">
        <v>12671287</v>
      </c>
      <c r="G236">
        <v>4510611.5999999996</v>
      </c>
    </row>
    <row r="237" spans="5:7" x14ac:dyDescent="0.2">
      <c r="E237" s="2">
        <v>45505</v>
      </c>
      <c r="F237" s="3">
        <v>17799683</v>
      </c>
      <c r="G237">
        <v>7151722.3999999994</v>
      </c>
    </row>
    <row r="238" spans="5:7" x14ac:dyDescent="0.2">
      <c r="E238" s="2">
        <v>45536</v>
      </c>
      <c r="F238" s="3">
        <v>14013865</v>
      </c>
      <c r="G238">
        <v>7012832.5999999996</v>
      </c>
    </row>
    <row r="239" spans="5:7" x14ac:dyDescent="0.2">
      <c r="E239" s="2">
        <v>45566</v>
      </c>
      <c r="F239" s="3">
        <v>14825869</v>
      </c>
      <c r="G239">
        <v>7885854.1999999993</v>
      </c>
    </row>
    <row r="240" spans="5:7" x14ac:dyDescent="0.2">
      <c r="E240" s="2">
        <v>45597</v>
      </c>
      <c r="F240" s="3">
        <v>9117925</v>
      </c>
      <c r="G240">
        <v>4369517.2</v>
      </c>
    </row>
    <row r="241" spans="5:7" x14ac:dyDescent="0.2">
      <c r="E241" s="2">
        <v>45627</v>
      </c>
      <c r="F241" s="3">
        <v>5678283</v>
      </c>
      <c r="G241">
        <v>1649040.8</v>
      </c>
    </row>
    <row r="242" spans="5:7" x14ac:dyDescent="0.2">
      <c r="E242" s="2"/>
    </row>
    <row r="243" spans="5:7" x14ac:dyDescent="0.2">
      <c r="E24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21B1-D99D-5E4F-806B-2575A7E8910D}">
  <dimension ref="H4:J7"/>
  <sheetViews>
    <sheetView workbookViewId="0">
      <selection activeCell="H8" sqref="H8"/>
    </sheetView>
  </sheetViews>
  <sheetFormatPr baseColWidth="10" defaultRowHeight="15" x14ac:dyDescent="0.2"/>
  <sheetData>
    <row r="4" spans="8:10" x14ac:dyDescent="0.2">
      <c r="J4" t="s">
        <v>80</v>
      </c>
    </row>
    <row r="6" spans="8:10" x14ac:dyDescent="0.2">
      <c r="H6" t="s">
        <v>79</v>
      </c>
      <c r="I6">
        <v>14664</v>
      </c>
    </row>
    <row r="7" spans="8:10" x14ac:dyDescent="0.2">
      <c r="H7" t="s">
        <v>81</v>
      </c>
      <c r="I7">
        <v>10138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F0B4-1554-0E49-8768-A93C7A699264}">
  <dimension ref="B2:AA416"/>
  <sheetViews>
    <sheetView showGridLines="0" topLeftCell="A249" workbookViewId="0">
      <selection activeCell="C272" sqref="C272:N416"/>
    </sheetView>
  </sheetViews>
  <sheetFormatPr baseColWidth="10" defaultRowHeight="15" x14ac:dyDescent="0.2"/>
  <cols>
    <col min="2" max="2" width="3.33203125" customWidth="1"/>
    <col min="3" max="3" width="10" bestFit="1" customWidth="1"/>
    <col min="4" max="4" width="9" bestFit="1" customWidth="1"/>
    <col min="5" max="5" width="20.83203125" bestFit="1" customWidth="1"/>
    <col min="6" max="6" width="17.1640625" bestFit="1" customWidth="1"/>
    <col min="7" max="7" width="18.33203125" bestFit="1" customWidth="1"/>
    <col min="8" max="8" width="17.83203125" bestFit="1" customWidth="1"/>
    <col min="9" max="9" width="24.1640625" bestFit="1" customWidth="1"/>
    <col min="10" max="10" width="27" bestFit="1" customWidth="1"/>
    <col min="11" max="11" width="22" bestFit="1" customWidth="1"/>
    <col min="12" max="12" width="21.1640625" bestFit="1" customWidth="1"/>
    <col min="13" max="13" width="23.5" bestFit="1" customWidth="1"/>
    <col min="14" max="14" width="25.83203125" customWidth="1"/>
  </cols>
  <sheetData>
    <row r="2" spans="2:14" x14ac:dyDescent="0.2">
      <c r="B2" s="6" t="s">
        <v>85</v>
      </c>
    </row>
    <row r="4" spans="2:14" x14ac:dyDescent="0.2">
      <c r="C4" s="8" t="s">
        <v>1</v>
      </c>
      <c r="D4" s="8" t="s">
        <v>2</v>
      </c>
      <c r="E4" t="s">
        <v>117</v>
      </c>
      <c r="F4" t="s">
        <v>116</v>
      </c>
      <c r="G4" t="s">
        <v>115</v>
      </c>
      <c r="H4" t="s">
        <v>114</v>
      </c>
      <c r="I4" t="s">
        <v>113</v>
      </c>
      <c r="J4" t="s">
        <v>112</v>
      </c>
      <c r="K4" t="s">
        <v>111</v>
      </c>
      <c r="L4" t="s">
        <v>110</v>
      </c>
      <c r="M4" t="s">
        <v>109</v>
      </c>
      <c r="N4" t="s">
        <v>86</v>
      </c>
    </row>
    <row r="5" spans="2:14" x14ac:dyDescent="0.2">
      <c r="C5">
        <v>2005</v>
      </c>
      <c r="D5">
        <v>1</v>
      </c>
      <c r="E5" s="7">
        <v>6.11</v>
      </c>
      <c r="F5" s="7">
        <v>27745.200000000001</v>
      </c>
      <c r="G5" s="7">
        <v>16.399999999999999</v>
      </c>
      <c r="H5" s="7">
        <v>27101.45</v>
      </c>
      <c r="I5" s="7"/>
      <c r="J5" s="7"/>
      <c r="K5" s="7">
        <v>15.03</v>
      </c>
      <c r="L5" s="7">
        <v>672603.11</v>
      </c>
      <c r="M5" s="7">
        <v>12.75</v>
      </c>
      <c r="N5" s="7">
        <v>430617.4</v>
      </c>
    </row>
    <row r="6" spans="2:14" x14ac:dyDescent="0.2">
      <c r="D6">
        <v>2</v>
      </c>
      <c r="E6" s="7">
        <v>0</v>
      </c>
      <c r="F6" s="7">
        <v>0</v>
      </c>
      <c r="G6" s="7">
        <v>30.91</v>
      </c>
      <c r="H6" s="7">
        <v>8399.6200000000008</v>
      </c>
      <c r="I6" s="7"/>
      <c r="J6" s="7"/>
      <c r="K6" s="7">
        <v>13.41</v>
      </c>
      <c r="L6" s="7">
        <v>327855.65000000002</v>
      </c>
      <c r="M6" s="7">
        <v>11.36</v>
      </c>
      <c r="N6" s="7">
        <v>209796.05</v>
      </c>
    </row>
    <row r="7" spans="2:14" x14ac:dyDescent="0.2">
      <c r="D7">
        <v>3</v>
      </c>
      <c r="E7" s="7">
        <v>6.86</v>
      </c>
      <c r="F7" s="7">
        <v>22.05</v>
      </c>
      <c r="G7" s="7">
        <v>2.12</v>
      </c>
      <c r="H7" s="7">
        <v>50578.49</v>
      </c>
      <c r="I7" s="7">
        <v>0.65651628200000001</v>
      </c>
      <c r="J7" s="7">
        <v>115171.5534</v>
      </c>
      <c r="K7" s="7">
        <v>16.079999999999998</v>
      </c>
      <c r="L7" s="7">
        <v>126670.85</v>
      </c>
      <c r="M7" s="7">
        <v>6.53</v>
      </c>
      <c r="N7" s="7">
        <v>204992.18</v>
      </c>
    </row>
    <row r="8" spans="2:14" x14ac:dyDescent="0.2">
      <c r="D8">
        <v>4</v>
      </c>
      <c r="E8" s="7">
        <v>0</v>
      </c>
      <c r="F8" s="7">
        <v>0</v>
      </c>
      <c r="G8" s="7">
        <v>25.14</v>
      </c>
      <c r="H8" s="7">
        <v>1953.3</v>
      </c>
      <c r="I8" s="7">
        <v>19.820635620000001</v>
      </c>
      <c r="J8" s="7">
        <v>1164.03936</v>
      </c>
      <c r="K8" s="7">
        <v>17.11</v>
      </c>
      <c r="L8" s="7">
        <v>566.59</v>
      </c>
      <c r="M8" s="7">
        <v>11.64</v>
      </c>
      <c r="N8" s="7">
        <v>160330.99</v>
      </c>
    </row>
    <row r="9" spans="2:14" x14ac:dyDescent="0.2">
      <c r="D9">
        <v>5</v>
      </c>
      <c r="E9" s="7">
        <v>6.7</v>
      </c>
      <c r="F9" s="7">
        <v>403022.98</v>
      </c>
      <c r="G9" s="7">
        <v>5.29</v>
      </c>
      <c r="H9" s="7">
        <v>137224.64000000001</v>
      </c>
      <c r="I9" s="7"/>
      <c r="J9" s="7"/>
      <c r="K9" s="7">
        <v>12.28</v>
      </c>
      <c r="L9" s="7">
        <v>109615.91</v>
      </c>
      <c r="M9" s="7">
        <v>11.89</v>
      </c>
      <c r="N9" s="7">
        <v>1537896.61</v>
      </c>
    </row>
    <row r="10" spans="2:14" x14ac:dyDescent="0.2">
      <c r="D10">
        <v>6</v>
      </c>
      <c r="E10" s="7">
        <v>5.9</v>
      </c>
      <c r="F10" s="7">
        <v>1450382.72</v>
      </c>
      <c r="G10" s="7">
        <v>7.02</v>
      </c>
      <c r="H10" s="7">
        <v>317501.19</v>
      </c>
      <c r="I10" s="7">
        <v>3.4754373969999999</v>
      </c>
      <c r="J10" s="7">
        <v>72730.413799999995</v>
      </c>
      <c r="K10" s="7">
        <v>13.85</v>
      </c>
      <c r="L10" s="7">
        <v>1716190.85</v>
      </c>
      <c r="M10" s="7">
        <v>12.62</v>
      </c>
      <c r="N10" s="7">
        <v>2369668.88</v>
      </c>
    </row>
    <row r="11" spans="2:14" x14ac:dyDescent="0.2">
      <c r="D11">
        <v>7</v>
      </c>
      <c r="E11" s="7">
        <v>5.79</v>
      </c>
      <c r="F11" s="7">
        <v>717510.45</v>
      </c>
      <c r="G11" s="7">
        <v>6.85</v>
      </c>
      <c r="H11" s="7">
        <v>454754.49</v>
      </c>
      <c r="I11" s="7"/>
      <c r="J11" s="7"/>
      <c r="K11" s="7">
        <v>12.4</v>
      </c>
      <c r="L11" s="7">
        <v>3218690.09</v>
      </c>
      <c r="M11" s="7">
        <v>13.31</v>
      </c>
      <c r="N11" s="7">
        <v>696346.86</v>
      </c>
    </row>
    <row r="12" spans="2:14" x14ac:dyDescent="0.2">
      <c r="D12">
        <v>8</v>
      </c>
      <c r="E12" s="7">
        <v>6.71</v>
      </c>
      <c r="F12" s="7">
        <v>291142.7</v>
      </c>
      <c r="G12" s="7">
        <v>7.77</v>
      </c>
      <c r="H12" s="7">
        <v>343738.43</v>
      </c>
      <c r="I12" s="7">
        <v>5.1379980830000003</v>
      </c>
      <c r="J12" s="7">
        <v>36376.230000000003</v>
      </c>
      <c r="K12" s="7">
        <v>4.8099999999999996</v>
      </c>
      <c r="L12" s="7">
        <v>139742.04</v>
      </c>
      <c r="M12" s="7">
        <v>12.38</v>
      </c>
      <c r="N12" s="7">
        <v>792754.9</v>
      </c>
    </row>
    <row r="13" spans="2:14" x14ac:dyDescent="0.2">
      <c r="D13">
        <v>9</v>
      </c>
      <c r="E13" s="7">
        <v>5.59</v>
      </c>
      <c r="F13" s="7">
        <v>492451.37</v>
      </c>
      <c r="G13" s="7">
        <v>7.15</v>
      </c>
      <c r="H13" s="7">
        <v>173530.4</v>
      </c>
      <c r="I13" s="7"/>
      <c r="J13" s="7"/>
      <c r="K13" s="7">
        <v>13.18</v>
      </c>
      <c r="L13" s="7">
        <v>933358.95</v>
      </c>
      <c r="M13" s="7">
        <v>12.32</v>
      </c>
      <c r="N13" s="7">
        <v>883378.01</v>
      </c>
    </row>
    <row r="14" spans="2:14" x14ac:dyDescent="0.2">
      <c r="D14">
        <v>10</v>
      </c>
      <c r="E14" s="7">
        <v>5.33</v>
      </c>
      <c r="F14" s="7">
        <v>306348</v>
      </c>
      <c r="G14" s="7">
        <v>8.26</v>
      </c>
      <c r="H14" s="7">
        <v>157577.74</v>
      </c>
      <c r="I14" s="7"/>
      <c r="J14" s="7"/>
      <c r="K14" s="7">
        <v>6.89</v>
      </c>
      <c r="L14" s="7">
        <v>1849.68</v>
      </c>
      <c r="M14" s="7">
        <v>13.09</v>
      </c>
      <c r="N14" s="7">
        <v>1201980.8700000001</v>
      </c>
    </row>
    <row r="15" spans="2:14" x14ac:dyDescent="0.2">
      <c r="D15">
        <v>11</v>
      </c>
      <c r="E15" s="7">
        <v>5.46</v>
      </c>
      <c r="F15" s="7">
        <v>185175.22</v>
      </c>
      <c r="G15" s="7">
        <v>5.38</v>
      </c>
      <c r="H15" s="7">
        <v>219373.36</v>
      </c>
      <c r="I15" s="7"/>
      <c r="J15" s="7"/>
      <c r="K15" s="7">
        <v>13.31</v>
      </c>
      <c r="L15" s="7">
        <v>861422.2</v>
      </c>
      <c r="M15" s="7">
        <v>13.3</v>
      </c>
      <c r="N15" s="7">
        <v>1597606.54</v>
      </c>
    </row>
    <row r="16" spans="2:14" x14ac:dyDescent="0.2">
      <c r="D16">
        <v>12</v>
      </c>
      <c r="E16" s="7">
        <v>0</v>
      </c>
      <c r="F16" s="7">
        <v>0</v>
      </c>
      <c r="G16" s="7">
        <v>14.24</v>
      </c>
      <c r="H16" s="7">
        <v>81901.8</v>
      </c>
      <c r="I16" s="7">
        <v>53.191773210000001</v>
      </c>
      <c r="J16" s="7">
        <v>749.57079999999996</v>
      </c>
      <c r="K16" s="7">
        <v>7.56</v>
      </c>
      <c r="L16" s="7">
        <v>1807.79</v>
      </c>
      <c r="M16" s="7">
        <v>12.91</v>
      </c>
      <c r="N16" s="7">
        <v>1179482.72</v>
      </c>
    </row>
    <row r="17" spans="3:14" x14ac:dyDescent="0.2">
      <c r="C17" t="s">
        <v>88</v>
      </c>
      <c r="E17" s="7">
        <v>54.449999999999996</v>
      </c>
      <c r="F17" s="7">
        <v>3873800.6900000004</v>
      </c>
      <c r="G17" s="7">
        <v>136.53</v>
      </c>
      <c r="H17" s="7">
        <v>1973634.91</v>
      </c>
      <c r="I17" s="7">
        <v>82.282360592000003</v>
      </c>
      <c r="J17" s="7">
        <v>226191.80736000001</v>
      </c>
      <c r="K17" s="7">
        <v>145.91</v>
      </c>
      <c r="L17" s="7">
        <v>8110373.71</v>
      </c>
      <c r="M17" s="7">
        <v>144.10000000000002</v>
      </c>
      <c r="N17" s="7">
        <v>11264852.01</v>
      </c>
    </row>
    <row r="18" spans="3:14" x14ac:dyDescent="0.2">
      <c r="C18">
        <v>2006</v>
      </c>
      <c r="D18">
        <v>1</v>
      </c>
      <c r="E18" s="7">
        <v>3.01</v>
      </c>
      <c r="F18" s="7">
        <v>99362.42</v>
      </c>
      <c r="G18" s="7">
        <v>5.39</v>
      </c>
      <c r="H18" s="7">
        <v>243769.73</v>
      </c>
      <c r="I18" s="7"/>
      <c r="J18" s="7"/>
      <c r="K18" s="7">
        <v>14.83</v>
      </c>
      <c r="L18" s="7">
        <v>1497915.83</v>
      </c>
      <c r="M18" s="7">
        <v>9.4</v>
      </c>
      <c r="N18" s="7">
        <v>734028.23</v>
      </c>
    </row>
    <row r="19" spans="3:14" x14ac:dyDescent="0.2">
      <c r="D19">
        <v>2</v>
      </c>
      <c r="E19" s="7">
        <v>0</v>
      </c>
      <c r="F19" s="7">
        <v>0</v>
      </c>
      <c r="G19" s="7">
        <v>4.0199999999999996</v>
      </c>
      <c r="H19" s="7">
        <v>74824.95</v>
      </c>
      <c r="I19" s="7"/>
      <c r="J19" s="7"/>
      <c r="K19" s="7">
        <v>15.51</v>
      </c>
      <c r="L19" s="7">
        <v>2098269.13</v>
      </c>
      <c r="M19" s="7">
        <v>11.76</v>
      </c>
      <c r="N19" s="7">
        <v>148302.57999999999</v>
      </c>
    </row>
    <row r="20" spans="3:14" x14ac:dyDescent="0.2">
      <c r="D20">
        <v>3</v>
      </c>
      <c r="E20" s="7">
        <v>9.15</v>
      </c>
      <c r="F20" s="7">
        <v>21164.39</v>
      </c>
      <c r="G20" s="7">
        <v>2.38</v>
      </c>
      <c r="H20" s="7">
        <v>59639.5</v>
      </c>
      <c r="I20" s="7"/>
      <c r="J20" s="7"/>
      <c r="K20" s="7">
        <v>14.89</v>
      </c>
      <c r="L20" s="7">
        <v>85102.74</v>
      </c>
      <c r="M20" s="7">
        <v>9.5</v>
      </c>
      <c r="N20" s="7">
        <v>177551.28</v>
      </c>
    </row>
    <row r="21" spans="3:14" x14ac:dyDescent="0.2">
      <c r="D21">
        <v>4</v>
      </c>
      <c r="E21" s="7">
        <v>7.31</v>
      </c>
      <c r="F21" s="7">
        <v>44950.09</v>
      </c>
      <c r="G21" s="7">
        <v>3.83</v>
      </c>
      <c r="H21" s="7">
        <v>21929.4</v>
      </c>
      <c r="I21" s="7"/>
      <c r="J21" s="7"/>
      <c r="K21" s="7">
        <v>15.79</v>
      </c>
      <c r="L21" s="7">
        <v>2862694.66</v>
      </c>
      <c r="M21" s="7">
        <v>10.43</v>
      </c>
      <c r="N21" s="7">
        <v>88453.759999999995</v>
      </c>
    </row>
    <row r="22" spans="3:14" x14ac:dyDescent="0.2">
      <c r="D22">
        <v>5</v>
      </c>
      <c r="E22" s="7">
        <v>7.51</v>
      </c>
      <c r="F22" s="7">
        <v>669286.5</v>
      </c>
      <c r="G22" s="7">
        <v>6.44</v>
      </c>
      <c r="H22" s="7">
        <v>660838.37</v>
      </c>
      <c r="I22" s="7"/>
      <c r="J22" s="7"/>
      <c r="K22" s="7">
        <v>16.54</v>
      </c>
      <c r="L22" s="7">
        <v>120991.75</v>
      </c>
      <c r="M22" s="7">
        <v>13.04</v>
      </c>
      <c r="N22" s="7">
        <v>2031105.38</v>
      </c>
    </row>
    <row r="23" spans="3:14" x14ac:dyDescent="0.2">
      <c r="D23">
        <v>6</v>
      </c>
      <c r="E23" s="7">
        <v>7.41</v>
      </c>
      <c r="F23" s="7">
        <v>1351545</v>
      </c>
      <c r="G23" s="7">
        <v>6.8</v>
      </c>
      <c r="H23" s="7">
        <v>1156920.76</v>
      </c>
      <c r="I23" s="7">
        <v>1.784860186</v>
      </c>
      <c r="J23" s="7">
        <v>36900.929559999997</v>
      </c>
      <c r="K23" s="7">
        <v>15.85</v>
      </c>
      <c r="L23" s="7">
        <v>1746879.16</v>
      </c>
      <c r="M23" s="7">
        <v>13.52</v>
      </c>
      <c r="N23" s="7">
        <v>1944430.75</v>
      </c>
    </row>
    <row r="24" spans="3:14" x14ac:dyDescent="0.2">
      <c r="D24">
        <v>7</v>
      </c>
      <c r="E24" s="7">
        <v>7.69</v>
      </c>
      <c r="F24" s="7">
        <v>1016530.27</v>
      </c>
      <c r="G24" s="7">
        <v>6.35</v>
      </c>
      <c r="H24" s="7">
        <v>816872.87</v>
      </c>
      <c r="I24" s="7">
        <v>6.0594207520000003</v>
      </c>
      <c r="J24" s="7">
        <v>86956.826660000006</v>
      </c>
      <c r="K24" s="7">
        <v>16.489999999999998</v>
      </c>
      <c r="L24" s="7">
        <v>14850.32</v>
      </c>
      <c r="M24" s="7">
        <v>13.9</v>
      </c>
      <c r="N24" s="7">
        <v>873058.18</v>
      </c>
    </row>
    <row r="25" spans="3:14" x14ac:dyDescent="0.2">
      <c r="D25">
        <v>8</v>
      </c>
      <c r="E25" s="7">
        <v>7.05</v>
      </c>
      <c r="F25" s="7">
        <v>304945.84999999998</v>
      </c>
      <c r="G25" s="7">
        <v>6.6</v>
      </c>
      <c r="H25" s="7">
        <v>307194.57</v>
      </c>
      <c r="I25" s="7">
        <v>4.2670414350000003</v>
      </c>
      <c r="J25" s="7">
        <v>75395.799379999997</v>
      </c>
      <c r="K25" s="7">
        <v>15.58</v>
      </c>
      <c r="L25" s="7">
        <v>797713.09</v>
      </c>
      <c r="M25" s="7">
        <v>12.59</v>
      </c>
      <c r="N25" s="7">
        <v>982934.24</v>
      </c>
    </row>
    <row r="26" spans="3:14" x14ac:dyDescent="0.2">
      <c r="D26">
        <v>9</v>
      </c>
      <c r="E26" s="7">
        <v>7.32</v>
      </c>
      <c r="F26" s="7">
        <v>545884.85</v>
      </c>
      <c r="G26" s="7">
        <v>8.35</v>
      </c>
      <c r="H26" s="7">
        <v>332918.13</v>
      </c>
      <c r="I26" s="7"/>
      <c r="J26" s="7"/>
      <c r="K26" s="7">
        <v>13.82</v>
      </c>
      <c r="L26" s="7">
        <v>181784.15</v>
      </c>
      <c r="M26" s="7">
        <v>11.66</v>
      </c>
      <c r="N26" s="7">
        <v>1093249.01</v>
      </c>
    </row>
    <row r="27" spans="3:14" x14ac:dyDescent="0.2">
      <c r="D27">
        <v>10</v>
      </c>
      <c r="E27" s="7">
        <v>9.35</v>
      </c>
      <c r="F27" s="7">
        <v>205726.73</v>
      </c>
      <c r="G27" s="7">
        <v>6.66</v>
      </c>
      <c r="H27" s="7">
        <v>535900.1</v>
      </c>
      <c r="I27" s="7">
        <v>9.2205257580000008</v>
      </c>
      <c r="J27" s="7">
        <v>15941.60722</v>
      </c>
      <c r="K27" s="7">
        <v>10.27</v>
      </c>
      <c r="L27" s="7">
        <v>120954.27</v>
      </c>
      <c r="M27" s="7">
        <v>12.22</v>
      </c>
      <c r="N27" s="7">
        <v>1450662.01</v>
      </c>
    </row>
    <row r="28" spans="3:14" x14ac:dyDescent="0.2">
      <c r="D28">
        <v>11</v>
      </c>
      <c r="E28" s="7">
        <v>7.69</v>
      </c>
      <c r="F28" s="7">
        <v>85841.46</v>
      </c>
      <c r="G28" s="7">
        <v>3.44</v>
      </c>
      <c r="H28" s="7">
        <v>140050.97</v>
      </c>
      <c r="I28" s="7"/>
      <c r="J28" s="7"/>
      <c r="K28" s="7">
        <v>12.05</v>
      </c>
      <c r="L28" s="7">
        <v>10390.370000000001</v>
      </c>
      <c r="M28" s="7">
        <v>11.58</v>
      </c>
      <c r="N28" s="7">
        <v>993540.66</v>
      </c>
    </row>
    <row r="29" spans="3:14" x14ac:dyDescent="0.2">
      <c r="D29">
        <v>12</v>
      </c>
      <c r="E29" s="7">
        <v>8.07</v>
      </c>
      <c r="F29" s="7">
        <v>40838.46</v>
      </c>
      <c r="G29" s="7">
        <v>9.59</v>
      </c>
      <c r="H29" s="7">
        <v>110863.95</v>
      </c>
      <c r="I29" s="7">
        <v>31.97830012</v>
      </c>
      <c r="J29" s="7">
        <v>114.64024000000001</v>
      </c>
      <c r="K29" s="7">
        <v>14.68</v>
      </c>
      <c r="L29" s="7">
        <v>207994.87</v>
      </c>
      <c r="M29" s="7">
        <v>10.95</v>
      </c>
      <c r="N29" s="7">
        <v>1783795.52</v>
      </c>
    </row>
    <row r="30" spans="3:14" x14ac:dyDescent="0.2">
      <c r="C30" t="s">
        <v>89</v>
      </c>
      <c r="E30" s="7">
        <v>81.56</v>
      </c>
      <c r="F30" s="7">
        <v>4386076.0200000005</v>
      </c>
      <c r="G30" s="7">
        <v>69.850000000000009</v>
      </c>
      <c r="H30" s="7">
        <v>4461723.3</v>
      </c>
      <c r="I30" s="7">
        <v>53.310148251000001</v>
      </c>
      <c r="J30" s="7">
        <v>215309.80306000003</v>
      </c>
      <c r="K30" s="7">
        <v>176.3</v>
      </c>
      <c r="L30" s="7">
        <v>9745540.339999998</v>
      </c>
      <c r="M30" s="7">
        <v>140.55000000000001</v>
      </c>
      <c r="N30" s="7">
        <v>12301111.6</v>
      </c>
    </row>
    <row r="31" spans="3:14" x14ac:dyDescent="0.2">
      <c r="C31">
        <v>2007</v>
      </c>
      <c r="D31">
        <v>1</v>
      </c>
      <c r="E31" s="7">
        <v>5.62</v>
      </c>
      <c r="F31" s="7">
        <v>60294.27</v>
      </c>
      <c r="G31" s="7">
        <v>6.24</v>
      </c>
      <c r="H31" s="7">
        <v>106112.98</v>
      </c>
      <c r="I31" s="7">
        <v>3.9931451980000001</v>
      </c>
      <c r="J31" s="7">
        <v>110762.3134</v>
      </c>
      <c r="K31" s="7">
        <v>5.54</v>
      </c>
      <c r="L31" s="7">
        <v>800.28</v>
      </c>
      <c r="M31" s="7">
        <v>9.1999999999999993</v>
      </c>
      <c r="N31" s="7">
        <v>718011.66</v>
      </c>
    </row>
    <row r="32" spans="3:14" x14ac:dyDescent="0.2">
      <c r="D32">
        <v>2</v>
      </c>
      <c r="E32" s="7">
        <v>8.18</v>
      </c>
      <c r="F32" s="7">
        <v>13315.93</v>
      </c>
      <c r="G32" s="7">
        <v>5.97</v>
      </c>
      <c r="H32" s="7">
        <v>32061.85</v>
      </c>
      <c r="I32" s="7"/>
      <c r="J32" s="7"/>
      <c r="K32" s="7">
        <v>12.69</v>
      </c>
      <c r="L32" s="7">
        <v>3483542.11</v>
      </c>
      <c r="M32" s="7">
        <v>13.72</v>
      </c>
      <c r="N32" s="7">
        <v>122140.36</v>
      </c>
    </row>
    <row r="33" spans="3:14" x14ac:dyDescent="0.2">
      <c r="D33">
        <v>3</v>
      </c>
      <c r="E33" s="7">
        <v>17.420000000000002</v>
      </c>
      <c r="F33" s="7">
        <v>5846.66</v>
      </c>
      <c r="G33" s="7">
        <v>8.68</v>
      </c>
      <c r="H33" s="7">
        <v>45441.72</v>
      </c>
      <c r="I33" s="7"/>
      <c r="J33" s="7"/>
      <c r="K33" s="7">
        <v>13.83</v>
      </c>
      <c r="L33" s="7">
        <v>2553838.42</v>
      </c>
      <c r="M33" s="7">
        <v>15.38</v>
      </c>
      <c r="N33" s="7">
        <v>171049.85</v>
      </c>
    </row>
    <row r="34" spans="3:14" x14ac:dyDescent="0.2">
      <c r="D34">
        <v>4</v>
      </c>
      <c r="E34" s="7">
        <v>8.14</v>
      </c>
      <c r="F34" s="7">
        <v>24596.99</v>
      </c>
      <c r="G34" s="7">
        <v>9.58</v>
      </c>
      <c r="H34" s="7">
        <v>90195.59</v>
      </c>
      <c r="I34" s="7"/>
      <c r="J34" s="7"/>
      <c r="K34" s="7">
        <v>5.97</v>
      </c>
      <c r="L34" s="7">
        <v>29460.34</v>
      </c>
      <c r="M34" s="7">
        <v>11.9</v>
      </c>
      <c r="N34" s="7">
        <v>145626.17000000001</v>
      </c>
    </row>
    <row r="35" spans="3:14" x14ac:dyDescent="0.2">
      <c r="D35">
        <v>5</v>
      </c>
      <c r="E35" s="7">
        <v>5.81</v>
      </c>
      <c r="F35" s="7">
        <v>249371.68</v>
      </c>
      <c r="G35" s="7">
        <v>7.81</v>
      </c>
      <c r="H35" s="7">
        <v>94558.55</v>
      </c>
      <c r="I35" s="7"/>
      <c r="J35" s="7"/>
      <c r="K35" s="7">
        <v>14.08</v>
      </c>
      <c r="L35" s="7">
        <v>1503971.92</v>
      </c>
      <c r="M35" s="7">
        <v>11.68</v>
      </c>
      <c r="N35" s="7">
        <v>964792.42</v>
      </c>
    </row>
    <row r="36" spans="3:14" x14ac:dyDescent="0.2">
      <c r="D36">
        <v>6</v>
      </c>
      <c r="E36" s="7">
        <v>7.44</v>
      </c>
      <c r="F36" s="7">
        <v>1881611.67</v>
      </c>
      <c r="G36" s="7">
        <v>9.43</v>
      </c>
      <c r="H36" s="7">
        <v>284921.25</v>
      </c>
      <c r="I36" s="7"/>
      <c r="J36" s="7"/>
      <c r="K36" s="7">
        <v>6.02</v>
      </c>
      <c r="L36" s="7">
        <v>6000.98</v>
      </c>
      <c r="M36" s="7">
        <v>11.81</v>
      </c>
      <c r="N36" s="7">
        <v>2081760.94</v>
      </c>
    </row>
    <row r="37" spans="3:14" x14ac:dyDescent="0.2">
      <c r="D37">
        <v>7</v>
      </c>
      <c r="E37" s="7">
        <v>8.43</v>
      </c>
      <c r="F37" s="7">
        <v>1347938.24</v>
      </c>
      <c r="G37" s="7">
        <v>7.4</v>
      </c>
      <c r="H37" s="7">
        <v>506362.55</v>
      </c>
      <c r="I37" s="7">
        <v>0.95234874899999999</v>
      </c>
      <c r="J37" s="7">
        <v>509.26722000000001</v>
      </c>
      <c r="K37" s="7">
        <v>16.64</v>
      </c>
      <c r="L37" s="7">
        <v>106130.41</v>
      </c>
      <c r="M37" s="7">
        <v>11.94</v>
      </c>
      <c r="N37" s="7">
        <v>893188.57</v>
      </c>
    </row>
    <row r="38" spans="3:14" x14ac:dyDescent="0.2">
      <c r="D38">
        <v>8</v>
      </c>
      <c r="E38" s="7">
        <v>7.26</v>
      </c>
      <c r="F38" s="7">
        <v>671043.57999999996</v>
      </c>
      <c r="G38" s="7">
        <v>8.11</v>
      </c>
      <c r="H38" s="7">
        <v>239254.66</v>
      </c>
      <c r="I38" s="7">
        <v>2.0825484080000001</v>
      </c>
      <c r="J38" s="7">
        <v>116311.342</v>
      </c>
      <c r="K38" s="7">
        <v>15.2</v>
      </c>
      <c r="L38" s="7">
        <v>1649260.79</v>
      </c>
      <c r="M38" s="7">
        <v>11.52</v>
      </c>
      <c r="N38" s="7">
        <v>1150747.71</v>
      </c>
    </row>
    <row r="39" spans="3:14" x14ac:dyDescent="0.2">
      <c r="D39">
        <v>9</v>
      </c>
      <c r="E39" s="7">
        <v>8.2100000000000009</v>
      </c>
      <c r="F39" s="7">
        <v>426224.45</v>
      </c>
      <c r="G39" s="7">
        <v>9.6</v>
      </c>
      <c r="H39" s="7">
        <v>281030.09000000003</v>
      </c>
      <c r="I39" s="7"/>
      <c r="J39" s="7"/>
      <c r="K39" s="7">
        <v>16.39</v>
      </c>
      <c r="L39" s="7">
        <v>64077.279999999999</v>
      </c>
      <c r="M39" s="7">
        <v>10.86</v>
      </c>
      <c r="N39" s="7">
        <v>1245356.77</v>
      </c>
    </row>
    <row r="40" spans="3:14" x14ac:dyDescent="0.2">
      <c r="D40">
        <v>10</v>
      </c>
      <c r="E40" s="7">
        <v>9.65</v>
      </c>
      <c r="F40" s="7">
        <v>234435.35</v>
      </c>
      <c r="G40" s="7">
        <v>8.75</v>
      </c>
      <c r="H40" s="7">
        <v>172950.58</v>
      </c>
      <c r="I40" s="7"/>
      <c r="J40" s="7"/>
      <c r="K40" s="7">
        <v>15.31</v>
      </c>
      <c r="L40" s="7">
        <v>1657543.55</v>
      </c>
      <c r="M40" s="7">
        <v>10.93</v>
      </c>
      <c r="N40" s="7">
        <v>1252127.1599999999</v>
      </c>
    </row>
    <row r="41" spans="3:14" x14ac:dyDescent="0.2">
      <c r="D41">
        <v>11</v>
      </c>
      <c r="E41" s="7">
        <v>9.56</v>
      </c>
      <c r="F41" s="7">
        <v>350235.45</v>
      </c>
      <c r="G41" s="7">
        <v>4.2300000000000004</v>
      </c>
      <c r="H41" s="7">
        <v>266100.37</v>
      </c>
      <c r="I41" s="7"/>
      <c r="J41" s="7"/>
      <c r="K41" s="7">
        <v>15.41</v>
      </c>
      <c r="L41" s="7">
        <v>2573106.7999999998</v>
      </c>
      <c r="M41" s="7">
        <v>11.1</v>
      </c>
      <c r="N41" s="7">
        <v>814812.12</v>
      </c>
    </row>
    <row r="42" spans="3:14" x14ac:dyDescent="0.2">
      <c r="D42">
        <v>12</v>
      </c>
      <c r="E42" s="7">
        <v>10.31</v>
      </c>
      <c r="F42" s="7">
        <v>82691.05</v>
      </c>
      <c r="G42" s="7">
        <v>7.71</v>
      </c>
      <c r="H42" s="7">
        <v>232274.82</v>
      </c>
      <c r="I42" s="7"/>
      <c r="J42" s="7"/>
      <c r="K42" s="7">
        <v>14.86</v>
      </c>
      <c r="L42" s="7">
        <v>133015.75</v>
      </c>
      <c r="M42" s="7">
        <v>11.87</v>
      </c>
      <c r="N42" s="7">
        <v>707660.97</v>
      </c>
    </row>
    <row r="43" spans="3:14" x14ac:dyDescent="0.2">
      <c r="C43" t="s">
        <v>90</v>
      </c>
      <c r="E43" s="7">
        <v>106.03</v>
      </c>
      <c r="F43" s="7">
        <v>5347605.32</v>
      </c>
      <c r="G43" s="7">
        <v>93.509999999999991</v>
      </c>
      <c r="H43" s="7">
        <v>2351265.0099999998</v>
      </c>
      <c r="I43" s="7">
        <v>7.0280423550000002</v>
      </c>
      <c r="J43" s="7">
        <v>227582.92262</v>
      </c>
      <c r="K43" s="7">
        <v>151.94</v>
      </c>
      <c r="L43" s="7">
        <v>13760748.629999999</v>
      </c>
      <c r="M43" s="7">
        <v>141.91</v>
      </c>
      <c r="N43" s="7">
        <v>10267274.700000001</v>
      </c>
    </row>
    <row r="44" spans="3:14" x14ac:dyDescent="0.2">
      <c r="C44">
        <v>2008</v>
      </c>
      <c r="D44">
        <v>1</v>
      </c>
      <c r="E44" s="7">
        <v>6.94</v>
      </c>
      <c r="F44" s="7">
        <v>120418.79</v>
      </c>
      <c r="G44" s="7">
        <v>4.54</v>
      </c>
      <c r="H44" s="7">
        <v>98610.65</v>
      </c>
      <c r="I44" s="7"/>
      <c r="J44" s="7"/>
      <c r="K44" s="7">
        <v>15.06</v>
      </c>
      <c r="L44" s="7">
        <v>1872923.9</v>
      </c>
      <c r="M44" s="7">
        <v>12.32</v>
      </c>
      <c r="N44" s="7">
        <v>451162.26</v>
      </c>
    </row>
    <row r="45" spans="3:14" x14ac:dyDescent="0.2">
      <c r="D45">
        <v>2</v>
      </c>
      <c r="E45" s="7">
        <v>9.0399999999999991</v>
      </c>
      <c r="F45" s="7">
        <v>31424.720000000001</v>
      </c>
      <c r="G45" s="7">
        <v>6.63</v>
      </c>
      <c r="H45" s="7">
        <v>12220.23</v>
      </c>
      <c r="I45" s="7">
        <v>11.347367180000001</v>
      </c>
      <c r="J45" s="7">
        <v>7555.2327400000004</v>
      </c>
      <c r="K45" s="7">
        <v>13.86</v>
      </c>
      <c r="L45" s="7">
        <v>124433.16</v>
      </c>
      <c r="M45" s="7">
        <v>11.66</v>
      </c>
      <c r="N45" s="7">
        <v>220378.22</v>
      </c>
    </row>
    <row r="46" spans="3:14" x14ac:dyDescent="0.2">
      <c r="D46">
        <v>3</v>
      </c>
      <c r="E46" s="7">
        <v>7.56</v>
      </c>
      <c r="F46" s="7">
        <v>7674.3</v>
      </c>
      <c r="G46" s="7">
        <v>16.28</v>
      </c>
      <c r="H46" s="7">
        <v>14263.92</v>
      </c>
      <c r="I46" s="7"/>
      <c r="J46" s="7"/>
      <c r="K46" s="7">
        <v>15.47</v>
      </c>
      <c r="L46" s="7">
        <v>91515.98</v>
      </c>
      <c r="M46" s="7">
        <v>10.68</v>
      </c>
      <c r="N46" s="7">
        <v>129750.71</v>
      </c>
    </row>
    <row r="47" spans="3:14" x14ac:dyDescent="0.2">
      <c r="D47">
        <v>4</v>
      </c>
      <c r="E47" s="7">
        <v>0</v>
      </c>
      <c r="F47" s="7">
        <v>0</v>
      </c>
      <c r="G47" s="7">
        <v>8.84</v>
      </c>
      <c r="H47" s="7">
        <v>41945.18</v>
      </c>
      <c r="I47" s="7"/>
      <c r="J47" s="7"/>
      <c r="K47" s="7">
        <v>14.92</v>
      </c>
      <c r="L47" s="7">
        <v>2451704.9900000002</v>
      </c>
      <c r="M47" s="7">
        <v>11.15</v>
      </c>
      <c r="N47" s="7">
        <v>333684.67</v>
      </c>
    </row>
    <row r="48" spans="3:14" x14ac:dyDescent="0.2">
      <c r="D48">
        <v>5</v>
      </c>
      <c r="E48" s="7">
        <v>8.14</v>
      </c>
      <c r="F48" s="7">
        <v>140610.95000000001</v>
      </c>
      <c r="G48" s="7">
        <v>10.3</v>
      </c>
      <c r="H48" s="7">
        <v>93447.42</v>
      </c>
      <c r="I48" s="7"/>
      <c r="J48" s="7"/>
      <c r="K48" s="7">
        <v>14.19</v>
      </c>
      <c r="L48" s="7">
        <v>1059813.75</v>
      </c>
      <c r="M48" s="7">
        <v>12.09</v>
      </c>
      <c r="N48" s="7">
        <v>1706832.24</v>
      </c>
    </row>
    <row r="49" spans="3:14" x14ac:dyDescent="0.2">
      <c r="D49">
        <v>6</v>
      </c>
      <c r="E49" s="7">
        <v>8.39</v>
      </c>
      <c r="F49" s="7">
        <v>788384.72</v>
      </c>
      <c r="G49" s="7">
        <v>7.2</v>
      </c>
      <c r="H49" s="7">
        <v>265053.18</v>
      </c>
      <c r="I49" s="7"/>
      <c r="J49" s="7"/>
      <c r="K49" s="7">
        <v>12.15</v>
      </c>
      <c r="L49" s="7">
        <v>260773.48</v>
      </c>
      <c r="M49" s="7">
        <v>11.8</v>
      </c>
      <c r="N49" s="7">
        <v>2571272.56</v>
      </c>
    </row>
    <row r="50" spans="3:14" x14ac:dyDescent="0.2">
      <c r="D50">
        <v>7</v>
      </c>
      <c r="E50" s="7">
        <v>7.42</v>
      </c>
      <c r="F50" s="7">
        <v>596156.9</v>
      </c>
      <c r="G50" s="7">
        <v>8.65</v>
      </c>
      <c r="H50" s="7">
        <v>263884.71999999997</v>
      </c>
      <c r="I50" s="7"/>
      <c r="J50" s="7"/>
      <c r="K50" s="7">
        <v>8.31</v>
      </c>
      <c r="L50" s="7">
        <v>297361.34999999998</v>
      </c>
      <c r="M50" s="7">
        <v>12.22</v>
      </c>
      <c r="N50" s="7">
        <v>1301400.4099999999</v>
      </c>
    </row>
    <row r="51" spans="3:14" x14ac:dyDescent="0.2">
      <c r="D51">
        <v>8</v>
      </c>
      <c r="E51" s="7">
        <v>7.73</v>
      </c>
      <c r="F51" s="7">
        <v>753648.65</v>
      </c>
      <c r="G51" s="7">
        <v>8.85</v>
      </c>
      <c r="H51" s="7">
        <v>231130.62</v>
      </c>
      <c r="I51" s="7"/>
      <c r="J51" s="7"/>
      <c r="K51" s="7">
        <v>8.3699999999999992</v>
      </c>
      <c r="L51" s="7">
        <v>145888.51999999999</v>
      </c>
      <c r="M51" s="7">
        <v>12.77</v>
      </c>
      <c r="N51" s="7">
        <v>1095618.98</v>
      </c>
    </row>
    <row r="52" spans="3:14" x14ac:dyDescent="0.2">
      <c r="D52">
        <v>9</v>
      </c>
      <c r="E52" s="7">
        <v>6.88</v>
      </c>
      <c r="F52" s="7">
        <v>459485.62</v>
      </c>
      <c r="G52" s="7">
        <v>6.91</v>
      </c>
      <c r="H52" s="7">
        <v>231185.74</v>
      </c>
      <c r="I52" s="7">
        <v>6.9477231689999996</v>
      </c>
      <c r="J52" s="7">
        <v>3302.5207599999999</v>
      </c>
      <c r="K52" s="7">
        <v>14.05</v>
      </c>
      <c r="L52" s="7">
        <v>1560930.49</v>
      </c>
      <c r="M52" s="7">
        <v>14.61</v>
      </c>
      <c r="N52" s="7">
        <v>1053316.73</v>
      </c>
    </row>
    <row r="53" spans="3:14" x14ac:dyDescent="0.2">
      <c r="D53">
        <v>10</v>
      </c>
      <c r="E53" s="7">
        <v>4.87</v>
      </c>
      <c r="F53" s="7">
        <v>293140.09000000003</v>
      </c>
      <c r="G53" s="7">
        <v>8.56</v>
      </c>
      <c r="H53" s="7">
        <v>472541.4</v>
      </c>
      <c r="I53" s="7"/>
      <c r="J53" s="7"/>
      <c r="K53" s="7">
        <v>3.83</v>
      </c>
      <c r="L53" s="7">
        <v>15348.56</v>
      </c>
      <c r="M53" s="7">
        <v>10.93</v>
      </c>
      <c r="N53" s="7">
        <v>1104885</v>
      </c>
    </row>
    <row r="54" spans="3:14" x14ac:dyDescent="0.2">
      <c r="D54">
        <v>11</v>
      </c>
      <c r="E54" s="7">
        <v>6.78</v>
      </c>
      <c r="F54" s="7">
        <v>161001.51999999999</v>
      </c>
      <c r="G54" s="7">
        <v>5.64</v>
      </c>
      <c r="H54" s="7">
        <v>237166.88</v>
      </c>
      <c r="I54" s="7"/>
      <c r="J54" s="7"/>
      <c r="K54" s="7">
        <v>15.11</v>
      </c>
      <c r="L54" s="7">
        <v>2682478</v>
      </c>
      <c r="M54" s="7">
        <v>10.050000000000001</v>
      </c>
      <c r="N54" s="7">
        <v>859535.04</v>
      </c>
    </row>
    <row r="55" spans="3:14" x14ac:dyDescent="0.2">
      <c r="D55">
        <v>12</v>
      </c>
      <c r="E55" s="7">
        <v>3.21</v>
      </c>
      <c r="F55" s="7">
        <v>143223.43</v>
      </c>
      <c r="G55" s="7">
        <v>4.4400000000000004</v>
      </c>
      <c r="H55" s="7">
        <v>80717.91</v>
      </c>
      <c r="I55" s="7"/>
      <c r="J55" s="7"/>
      <c r="K55" s="7">
        <v>11.11</v>
      </c>
      <c r="L55" s="7">
        <v>1552.05</v>
      </c>
      <c r="M55" s="7">
        <v>10.84</v>
      </c>
      <c r="N55" s="7">
        <v>1069183.3799999999</v>
      </c>
    </row>
    <row r="56" spans="3:14" x14ac:dyDescent="0.2">
      <c r="C56" t="s">
        <v>91</v>
      </c>
      <c r="E56" s="7">
        <v>76.959999999999994</v>
      </c>
      <c r="F56" s="7">
        <v>3495169.69</v>
      </c>
      <c r="G56" s="7">
        <v>96.84</v>
      </c>
      <c r="H56" s="7">
        <v>2042167.8499999999</v>
      </c>
      <c r="I56" s="7">
        <v>18.295090348999999</v>
      </c>
      <c r="J56" s="7">
        <v>10857.753500000001</v>
      </c>
      <c r="K56" s="7">
        <v>146.43</v>
      </c>
      <c r="L56" s="7">
        <v>10564724.23</v>
      </c>
      <c r="M56" s="7">
        <v>141.12</v>
      </c>
      <c r="N56" s="7">
        <v>11897020.199999999</v>
      </c>
    </row>
    <row r="57" spans="3:14" x14ac:dyDescent="0.2">
      <c r="C57">
        <v>2009</v>
      </c>
      <c r="D57">
        <v>1</v>
      </c>
      <c r="E57" s="7">
        <v>6.39</v>
      </c>
      <c r="F57" s="7">
        <v>81127.97</v>
      </c>
      <c r="G57" s="7">
        <v>17.12</v>
      </c>
      <c r="H57" s="7">
        <v>32956.93</v>
      </c>
      <c r="I57" s="7"/>
      <c r="J57" s="7"/>
      <c r="K57" s="7">
        <v>16.29</v>
      </c>
      <c r="L57" s="7">
        <v>1043047.61</v>
      </c>
      <c r="M57" s="7">
        <v>8.17</v>
      </c>
      <c r="N57" s="7">
        <v>480633.62</v>
      </c>
    </row>
    <row r="58" spans="3:14" x14ac:dyDescent="0.2">
      <c r="D58">
        <v>2</v>
      </c>
      <c r="E58" s="7">
        <v>7.62</v>
      </c>
      <c r="F58" s="7">
        <v>84384.2</v>
      </c>
      <c r="G58" s="7">
        <v>2.92</v>
      </c>
      <c r="H58" s="7">
        <v>107371.82</v>
      </c>
      <c r="I58" s="7">
        <v>10.180219989999999</v>
      </c>
      <c r="J58" s="7">
        <v>33000.95678</v>
      </c>
      <c r="K58" s="7">
        <v>2</v>
      </c>
      <c r="L58" s="7">
        <v>2138.48</v>
      </c>
      <c r="M58" s="7">
        <v>5.98</v>
      </c>
      <c r="N58" s="7">
        <v>200455.07</v>
      </c>
    </row>
    <row r="59" spans="3:14" x14ac:dyDescent="0.2">
      <c r="D59">
        <v>3</v>
      </c>
      <c r="E59" s="7">
        <v>5.0999999999999996</v>
      </c>
      <c r="F59" s="7">
        <v>58823.79</v>
      </c>
      <c r="G59" s="7">
        <v>9.0299999999999994</v>
      </c>
      <c r="H59" s="7">
        <v>34004.129999999997</v>
      </c>
      <c r="I59" s="7">
        <v>5.0946560920000001</v>
      </c>
      <c r="J59" s="7">
        <v>33699.821320000003</v>
      </c>
      <c r="K59" s="7">
        <v>15.82</v>
      </c>
      <c r="L59" s="7">
        <v>1875505.51</v>
      </c>
      <c r="M59" s="7">
        <v>3.84</v>
      </c>
      <c r="N59" s="7">
        <v>215188.55</v>
      </c>
    </row>
    <row r="60" spans="3:14" x14ac:dyDescent="0.2">
      <c r="D60">
        <v>4</v>
      </c>
      <c r="E60" s="7">
        <v>5.57</v>
      </c>
      <c r="F60" s="7">
        <v>85396.13</v>
      </c>
      <c r="G60" s="7">
        <v>0.9</v>
      </c>
      <c r="H60" s="7">
        <v>38206.14</v>
      </c>
      <c r="I60" s="7">
        <v>3.7030650870000001</v>
      </c>
      <c r="J60" s="7">
        <v>2610.2700799999998</v>
      </c>
      <c r="K60" s="7">
        <v>15.9</v>
      </c>
      <c r="L60" s="7">
        <v>2212142.16</v>
      </c>
      <c r="M60" s="7">
        <v>4.57</v>
      </c>
      <c r="N60" s="7">
        <v>60750.51</v>
      </c>
    </row>
    <row r="61" spans="3:14" x14ac:dyDescent="0.2">
      <c r="D61">
        <v>5</v>
      </c>
      <c r="E61" s="7">
        <v>6.76</v>
      </c>
      <c r="F61" s="7">
        <v>82371.38</v>
      </c>
      <c r="G61" s="7">
        <v>8.83</v>
      </c>
      <c r="H61" s="7">
        <v>54275.65</v>
      </c>
      <c r="I61" s="7"/>
      <c r="J61" s="7"/>
      <c r="K61" s="7">
        <v>11.64</v>
      </c>
      <c r="L61" s="7">
        <v>189603.93</v>
      </c>
      <c r="M61" s="7">
        <v>10.199999999999999</v>
      </c>
      <c r="N61" s="7">
        <v>1571318.65</v>
      </c>
    </row>
    <row r="62" spans="3:14" x14ac:dyDescent="0.2">
      <c r="D62">
        <v>6</v>
      </c>
      <c r="E62" s="7">
        <v>5.54</v>
      </c>
      <c r="F62" s="7">
        <v>723313.02</v>
      </c>
      <c r="G62" s="7">
        <v>5.29</v>
      </c>
      <c r="H62" s="7">
        <v>319267.09000000003</v>
      </c>
      <c r="I62" s="7">
        <v>5.8804512899999999</v>
      </c>
      <c r="J62" s="7">
        <v>36477.642520000001</v>
      </c>
      <c r="K62" s="7">
        <v>16.579999999999998</v>
      </c>
      <c r="L62" s="7">
        <v>2008243.47</v>
      </c>
      <c r="M62" s="7">
        <v>9.6999999999999993</v>
      </c>
      <c r="N62" s="7">
        <v>2227988.9700000002</v>
      </c>
    </row>
    <row r="63" spans="3:14" x14ac:dyDescent="0.2">
      <c r="D63">
        <v>7</v>
      </c>
      <c r="E63" s="7">
        <v>5.36</v>
      </c>
      <c r="F63" s="7">
        <v>1005670.29</v>
      </c>
      <c r="G63" s="7">
        <v>3.88</v>
      </c>
      <c r="H63" s="7">
        <v>450292.33</v>
      </c>
      <c r="I63" s="7">
        <v>2.2987610799999998</v>
      </c>
      <c r="J63" s="7">
        <v>68221.965899999996</v>
      </c>
      <c r="K63" s="7">
        <v>14.96</v>
      </c>
      <c r="L63" s="7">
        <v>181949.49</v>
      </c>
      <c r="M63" s="7">
        <v>8.3000000000000007</v>
      </c>
      <c r="N63" s="7">
        <v>674538.76</v>
      </c>
    </row>
    <row r="64" spans="3:14" x14ac:dyDescent="0.2">
      <c r="D64">
        <v>8</v>
      </c>
      <c r="E64" s="7">
        <v>5.52</v>
      </c>
      <c r="F64" s="7">
        <v>542011.31999999995</v>
      </c>
      <c r="G64" s="7">
        <v>6.22</v>
      </c>
      <c r="H64" s="7">
        <v>109576.45</v>
      </c>
      <c r="I64" s="7">
        <v>9.2940735879999998</v>
      </c>
      <c r="J64" s="7">
        <v>14625.44908</v>
      </c>
      <c r="K64" s="7">
        <v>15.82</v>
      </c>
      <c r="L64" s="7">
        <v>1750717.4</v>
      </c>
      <c r="M64" s="7">
        <v>11.04</v>
      </c>
      <c r="N64" s="7">
        <v>988392.88</v>
      </c>
    </row>
    <row r="65" spans="3:14" x14ac:dyDescent="0.2">
      <c r="D65">
        <v>9</v>
      </c>
      <c r="E65" s="7">
        <v>5.91</v>
      </c>
      <c r="F65" s="7">
        <v>598257.91</v>
      </c>
      <c r="G65" s="7">
        <v>4.28</v>
      </c>
      <c r="H65" s="7">
        <v>333493.53999999998</v>
      </c>
      <c r="I65" s="7"/>
      <c r="J65" s="7"/>
      <c r="K65" s="7">
        <v>18.61</v>
      </c>
      <c r="L65" s="7">
        <v>4662.7700000000004</v>
      </c>
      <c r="M65" s="7">
        <v>9.75</v>
      </c>
      <c r="N65" s="7">
        <v>1126867.26</v>
      </c>
    </row>
    <row r="66" spans="3:14" x14ac:dyDescent="0.2">
      <c r="D66">
        <v>10</v>
      </c>
      <c r="E66" s="7">
        <v>6.85</v>
      </c>
      <c r="F66" s="7">
        <v>365211.47</v>
      </c>
      <c r="G66" s="7">
        <v>7.04</v>
      </c>
      <c r="H66" s="7">
        <v>368899.8</v>
      </c>
      <c r="I66" s="7">
        <v>3.442572846</v>
      </c>
      <c r="J66" s="7">
        <v>28479.281159999999</v>
      </c>
      <c r="K66" s="7">
        <v>15.46</v>
      </c>
      <c r="L66" s="7">
        <v>1215761.95</v>
      </c>
      <c r="M66" s="7">
        <v>9.69</v>
      </c>
      <c r="N66" s="7">
        <v>1206401.1299999999</v>
      </c>
    </row>
    <row r="67" spans="3:14" x14ac:dyDescent="0.2">
      <c r="D67">
        <v>11</v>
      </c>
      <c r="E67" s="7">
        <v>6.47</v>
      </c>
      <c r="F67" s="7">
        <v>376100.11</v>
      </c>
      <c r="G67" s="7">
        <v>5.28</v>
      </c>
      <c r="H67" s="7">
        <v>521600.91</v>
      </c>
      <c r="I67" s="7">
        <v>4.5804814</v>
      </c>
      <c r="J67" s="7">
        <v>17844.19428</v>
      </c>
      <c r="K67" s="7">
        <v>20.329999999999998</v>
      </c>
      <c r="L67" s="7">
        <v>17590.66</v>
      </c>
      <c r="M67" s="7">
        <v>9.02</v>
      </c>
      <c r="N67" s="7">
        <v>1065294.43</v>
      </c>
    </row>
    <row r="68" spans="3:14" x14ac:dyDescent="0.2">
      <c r="D68">
        <v>12</v>
      </c>
      <c r="E68" s="7">
        <v>4.9000000000000004</v>
      </c>
      <c r="F68" s="7">
        <v>154440.54999999999</v>
      </c>
      <c r="G68" s="7">
        <v>9.8800000000000008</v>
      </c>
      <c r="H68" s="7">
        <v>99613.75</v>
      </c>
      <c r="I68" s="7"/>
      <c r="J68" s="7"/>
      <c r="K68" s="7">
        <v>15.55</v>
      </c>
      <c r="L68" s="7">
        <v>694563.33</v>
      </c>
      <c r="M68" s="7">
        <v>9.41</v>
      </c>
      <c r="N68" s="7">
        <v>886658.48</v>
      </c>
    </row>
    <row r="69" spans="3:14" x14ac:dyDescent="0.2">
      <c r="C69" t="s">
        <v>92</v>
      </c>
      <c r="E69" s="7">
        <v>71.990000000000009</v>
      </c>
      <c r="F69" s="7">
        <v>4157108.14</v>
      </c>
      <c r="G69" s="7">
        <v>80.67</v>
      </c>
      <c r="H69" s="7">
        <v>2469558.54</v>
      </c>
      <c r="I69" s="7">
        <v>44.474281372999997</v>
      </c>
      <c r="J69" s="7">
        <v>234959.58111999999</v>
      </c>
      <c r="K69" s="7">
        <v>178.95999999999998</v>
      </c>
      <c r="L69" s="7">
        <v>11195926.759999998</v>
      </c>
      <c r="M69" s="7">
        <v>99.67</v>
      </c>
      <c r="N69" s="7">
        <v>10704488.309999999</v>
      </c>
    </row>
    <row r="70" spans="3:14" x14ac:dyDescent="0.2">
      <c r="C70">
        <v>2010</v>
      </c>
      <c r="D70">
        <v>1</v>
      </c>
      <c r="E70" s="7">
        <v>7.64</v>
      </c>
      <c r="F70" s="7">
        <v>57701.63</v>
      </c>
      <c r="G70" s="7">
        <v>8.5399999999999991</v>
      </c>
      <c r="H70" s="7">
        <v>60671.26</v>
      </c>
      <c r="I70" s="7">
        <v>6.7287899099999997</v>
      </c>
      <c r="J70" s="7">
        <v>17841.989659999999</v>
      </c>
      <c r="K70" s="7">
        <v>14.44</v>
      </c>
      <c r="L70" s="7">
        <v>324224.64000000001</v>
      </c>
      <c r="M70" s="7">
        <v>8.5500000000000007</v>
      </c>
      <c r="N70" s="7">
        <v>692510.83</v>
      </c>
    </row>
    <row r="71" spans="3:14" x14ac:dyDescent="0.2">
      <c r="D71">
        <v>2</v>
      </c>
      <c r="E71" s="7">
        <v>16.12</v>
      </c>
      <c r="F71" s="7">
        <v>28252.26</v>
      </c>
      <c r="G71" s="7">
        <v>9.14</v>
      </c>
      <c r="H71" s="7">
        <v>70197.45</v>
      </c>
      <c r="I71" s="7">
        <v>10.7496811</v>
      </c>
      <c r="J71" s="7">
        <v>2548.54072</v>
      </c>
      <c r="K71" s="7">
        <v>7.43</v>
      </c>
      <c r="L71" s="7">
        <v>14524.04</v>
      </c>
      <c r="M71" s="7">
        <v>7.92</v>
      </c>
      <c r="N71" s="7">
        <v>182990.07</v>
      </c>
    </row>
    <row r="72" spans="3:14" x14ac:dyDescent="0.2">
      <c r="D72">
        <v>3</v>
      </c>
      <c r="E72" s="7">
        <v>6.66</v>
      </c>
      <c r="F72" s="7">
        <v>8441.51</v>
      </c>
      <c r="G72" s="7">
        <v>13.16</v>
      </c>
      <c r="H72" s="7">
        <v>19477.86</v>
      </c>
      <c r="I72" s="7">
        <v>13.387863449999999</v>
      </c>
      <c r="J72" s="7">
        <v>72.752459999999999</v>
      </c>
      <c r="K72" s="7">
        <v>3.83</v>
      </c>
      <c r="L72" s="7">
        <v>4327.67</v>
      </c>
      <c r="M72" s="7">
        <v>5.07</v>
      </c>
      <c r="N72" s="7">
        <v>255160.51</v>
      </c>
    </row>
    <row r="73" spans="3:14" x14ac:dyDescent="0.2">
      <c r="D73">
        <v>4</v>
      </c>
      <c r="E73" s="7">
        <v>11.29</v>
      </c>
      <c r="F73" s="7">
        <v>4814.8999999999996</v>
      </c>
      <c r="G73" s="7">
        <v>18.03</v>
      </c>
      <c r="H73" s="7">
        <v>11320.75</v>
      </c>
      <c r="I73" s="7"/>
      <c r="J73" s="7"/>
      <c r="K73" s="7">
        <v>14.93</v>
      </c>
      <c r="L73" s="7">
        <v>312736.37</v>
      </c>
      <c r="M73" s="7">
        <v>7.91</v>
      </c>
      <c r="N73" s="7">
        <v>273205.33</v>
      </c>
    </row>
    <row r="74" spans="3:14" x14ac:dyDescent="0.2">
      <c r="D74">
        <v>5</v>
      </c>
      <c r="E74" s="7">
        <v>6.69</v>
      </c>
      <c r="F74" s="7">
        <v>298905.18</v>
      </c>
      <c r="G74" s="7">
        <v>5.86</v>
      </c>
      <c r="H74" s="7">
        <v>252411.86</v>
      </c>
      <c r="I74" s="7">
        <v>4.7917600970000001</v>
      </c>
      <c r="J74" s="7">
        <v>33029.616840000002</v>
      </c>
      <c r="K74" s="7">
        <v>13.53</v>
      </c>
      <c r="L74" s="7">
        <v>542728.93999999994</v>
      </c>
      <c r="M74" s="7">
        <v>10.130000000000001</v>
      </c>
      <c r="N74" s="7">
        <v>2459604.14</v>
      </c>
    </row>
    <row r="75" spans="3:14" x14ac:dyDescent="0.2">
      <c r="D75">
        <v>6</v>
      </c>
      <c r="E75" s="7">
        <v>6.3</v>
      </c>
      <c r="F75" s="7">
        <v>1139537.29</v>
      </c>
      <c r="G75" s="7">
        <v>6.65</v>
      </c>
      <c r="H75" s="7">
        <v>251091.29</v>
      </c>
      <c r="I75" s="7">
        <v>10.91114076</v>
      </c>
      <c r="J75" s="7">
        <v>13086.624320000001</v>
      </c>
      <c r="K75" s="7">
        <v>13.05</v>
      </c>
      <c r="L75" s="7">
        <v>6530.08</v>
      </c>
      <c r="M75" s="7">
        <v>11.93</v>
      </c>
      <c r="N75" s="7">
        <v>2347957.7799999998</v>
      </c>
    </row>
    <row r="76" spans="3:14" x14ac:dyDescent="0.2">
      <c r="D76">
        <v>7</v>
      </c>
      <c r="E76" s="7">
        <v>6.16</v>
      </c>
      <c r="F76" s="7">
        <v>1118419.2</v>
      </c>
      <c r="G76" s="7">
        <v>8.6199999999999992</v>
      </c>
      <c r="H76" s="7">
        <v>245288.72</v>
      </c>
      <c r="I76" s="7">
        <v>9.8005935520000005</v>
      </c>
      <c r="J76" s="7">
        <v>9307.9056400000009</v>
      </c>
      <c r="K76" s="7">
        <v>15.87</v>
      </c>
      <c r="L76" s="7">
        <v>2695068.58</v>
      </c>
      <c r="M76" s="7">
        <v>10.4</v>
      </c>
      <c r="N76" s="7">
        <v>1261159.48</v>
      </c>
    </row>
    <row r="77" spans="3:14" x14ac:dyDescent="0.2">
      <c r="D77">
        <v>8</v>
      </c>
      <c r="E77" s="7">
        <v>6.44</v>
      </c>
      <c r="F77" s="7">
        <v>628937.46</v>
      </c>
      <c r="G77" s="7">
        <v>6.41</v>
      </c>
      <c r="H77" s="7">
        <v>413294.33</v>
      </c>
      <c r="I77" s="7">
        <v>10.99386284</v>
      </c>
      <c r="J77" s="7">
        <v>21248.127560000001</v>
      </c>
      <c r="K77" s="7">
        <v>14.9</v>
      </c>
      <c r="L77" s="7">
        <v>4083939.5</v>
      </c>
      <c r="M77" s="7">
        <v>10.25</v>
      </c>
      <c r="N77" s="7">
        <v>1757124.03</v>
      </c>
    </row>
    <row r="78" spans="3:14" x14ac:dyDescent="0.2">
      <c r="D78">
        <v>9</v>
      </c>
      <c r="E78" s="7">
        <v>6.5</v>
      </c>
      <c r="F78" s="7">
        <v>448019.37</v>
      </c>
      <c r="G78" s="7">
        <v>9.2100000000000009</v>
      </c>
      <c r="H78" s="7">
        <v>114232.61</v>
      </c>
      <c r="I78" s="7">
        <v>10.979664530000001</v>
      </c>
      <c r="J78" s="7">
        <v>1840.8577</v>
      </c>
      <c r="K78" s="7">
        <v>14.06</v>
      </c>
      <c r="L78" s="7">
        <v>191940.83</v>
      </c>
      <c r="M78" s="7">
        <v>9.93</v>
      </c>
      <c r="N78" s="7">
        <v>1654880.37</v>
      </c>
    </row>
    <row r="79" spans="3:14" x14ac:dyDescent="0.2">
      <c r="D79">
        <v>10</v>
      </c>
      <c r="E79" s="7">
        <v>7.2</v>
      </c>
      <c r="F79" s="7">
        <v>518084.53</v>
      </c>
      <c r="G79" s="7">
        <v>5.32</v>
      </c>
      <c r="H79" s="7">
        <v>362777.56</v>
      </c>
      <c r="I79" s="7">
        <v>1.2274989940000001</v>
      </c>
      <c r="J79" s="7">
        <v>52963.79088</v>
      </c>
      <c r="K79" s="7">
        <v>12.84</v>
      </c>
      <c r="L79" s="7">
        <v>23360.15</v>
      </c>
      <c r="M79" s="7">
        <v>11</v>
      </c>
      <c r="N79" s="7">
        <v>1449941.1</v>
      </c>
    </row>
    <row r="80" spans="3:14" x14ac:dyDescent="0.2">
      <c r="D80">
        <v>11</v>
      </c>
      <c r="E80" s="7">
        <v>5.77</v>
      </c>
      <c r="F80" s="7">
        <v>330951.59999999998</v>
      </c>
      <c r="G80" s="7">
        <v>6.9</v>
      </c>
      <c r="H80" s="7">
        <v>344637.91</v>
      </c>
      <c r="I80" s="7">
        <v>11.20130035</v>
      </c>
      <c r="J80" s="7">
        <v>1840.8577</v>
      </c>
      <c r="K80" s="7">
        <v>15.69</v>
      </c>
      <c r="L80" s="7">
        <v>1486376.85</v>
      </c>
      <c r="M80" s="7">
        <v>11.6</v>
      </c>
      <c r="N80" s="7">
        <v>1118694.74</v>
      </c>
    </row>
    <row r="81" spans="3:14" x14ac:dyDescent="0.2">
      <c r="D81">
        <v>12</v>
      </c>
      <c r="E81" s="7">
        <v>5.04</v>
      </c>
      <c r="F81" s="7">
        <v>82695.460000000006</v>
      </c>
      <c r="G81" s="7">
        <v>6.51</v>
      </c>
      <c r="H81" s="7">
        <v>80475.41</v>
      </c>
      <c r="I81" s="7">
        <v>6.4660057100000001</v>
      </c>
      <c r="J81" s="7">
        <v>12246.6641</v>
      </c>
      <c r="K81" s="7">
        <v>14.59</v>
      </c>
      <c r="L81" s="7">
        <v>2220279.42</v>
      </c>
      <c r="M81" s="7">
        <v>11.64</v>
      </c>
      <c r="N81" s="7">
        <v>1545870.73</v>
      </c>
    </row>
    <row r="82" spans="3:14" x14ac:dyDescent="0.2">
      <c r="C82" t="s">
        <v>93</v>
      </c>
      <c r="E82" s="7">
        <v>91.81</v>
      </c>
      <c r="F82" s="7">
        <v>4664760.3899999997</v>
      </c>
      <c r="G82" s="7">
        <v>104.35000000000001</v>
      </c>
      <c r="H82" s="7">
        <v>2225877.0100000002</v>
      </c>
      <c r="I82" s="7">
        <v>97.238161293000005</v>
      </c>
      <c r="J82" s="7">
        <v>166027.72758000001</v>
      </c>
      <c r="K82" s="7">
        <v>155.16000000000003</v>
      </c>
      <c r="L82" s="7">
        <v>11906037.07</v>
      </c>
      <c r="M82" s="7">
        <v>116.33</v>
      </c>
      <c r="N82" s="7">
        <v>14999099.109999999</v>
      </c>
    </row>
    <row r="83" spans="3:14" x14ac:dyDescent="0.2">
      <c r="C83">
        <v>2011</v>
      </c>
      <c r="D83">
        <v>1</v>
      </c>
      <c r="E83" s="7">
        <v>5.98</v>
      </c>
      <c r="F83" s="7">
        <v>23578.46</v>
      </c>
      <c r="G83" s="7">
        <v>20.71</v>
      </c>
      <c r="H83" s="7">
        <v>46579.3</v>
      </c>
      <c r="I83" s="7">
        <v>19.837842469999998</v>
      </c>
      <c r="J83" s="7">
        <v>1496.9369799999999</v>
      </c>
      <c r="K83" s="7">
        <v>12.81</v>
      </c>
      <c r="L83" s="7">
        <v>121631.09</v>
      </c>
      <c r="M83" s="7">
        <v>11.85</v>
      </c>
      <c r="N83" s="7">
        <v>784181.13</v>
      </c>
    </row>
    <row r="84" spans="3:14" x14ac:dyDescent="0.2">
      <c r="D84">
        <v>2</v>
      </c>
      <c r="E84" s="7">
        <v>11.13</v>
      </c>
      <c r="F84" s="7">
        <v>9193.2800000000007</v>
      </c>
      <c r="G84" s="7">
        <v>18.34</v>
      </c>
      <c r="H84" s="7">
        <v>39361.360000000001</v>
      </c>
      <c r="I84" s="7">
        <v>11.41469289</v>
      </c>
      <c r="J84" s="7">
        <v>1829.8345999999999</v>
      </c>
      <c r="K84" s="7">
        <v>17.12</v>
      </c>
      <c r="L84" s="7">
        <v>99642.21</v>
      </c>
      <c r="M84" s="7">
        <v>7.6</v>
      </c>
      <c r="N84" s="7">
        <v>207472.38</v>
      </c>
    </row>
    <row r="85" spans="3:14" x14ac:dyDescent="0.2">
      <c r="D85">
        <v>3</v>
      </c>
      <c r="E85" s="7">
        <v>11.36</v>
      </c>
      <c r="F85" s="7">
        <v>29090.02</v>
      </c>
      <c r="G85" s="7">
        <v>22.52</v>
      </c>
      <c r="H85" s="7">
        <v>15306.71</v>
      </c>
      <c r="I85" s="7"/>
      <c r="J85" s="7"/>
      <c r="K85" s="7">
        <v>15.99</v>
      </c>
      <c r="L85" s="7">
        <v>2490563.62</v>
      </c>
      <c r="M85" s="7">
        <v>8.58</v>
      </c>
      <c r="N85" s="7">
        <v>157952.20000000001</v>
      </c>
    </row>
    <row r="86" spans="3:14" x14ac:dyDescent="0.2">
      <c r="D86">
        <v>4</v>
      </c>
      <c r="E86" s="7">
        <v>19.55</v>
      </c>
      <c r="F86" s="7">
        <v>16830.099999999999</v>
      </c>
      <c r="G86" s="7">
        <v>3.04</v>
      </c>
      <c r="H86" s="7">
        <v>36850.300000000003</v>
      </c>
      <c r="I86" s="7"/>
      <c r="J86" s="7"/>
      <c r="K86" s="7">
        <v>14.6</v>
      </c>
      <c r="L86" s="7">
        <v>1878649.3</v>
      </c>
      <c r="M86" s="7">
        <v>7.3</v>
      </c>
      <c r="N86" s="7">
        <v>167275.54</v>
      </c>
    </row>
    <row r="87" spans="3:14" x14ac:dyDescent="0.2">
      <c r="D87">
        <v>5</v>
      </c>
      <c r="E87" s="7">
        <v>7.24</v>
      </c>
      <c r="F87" s="7">
        <v>40679.730000000003</v>
      </c>
      <c r="G87" s="7">
        <v>9.4</v>
      </c>
      <c r="H87" s="7">
        <v>39958.82</v>
      </c>
      <c r="I87" s="7">
        <v>7.202637985</v>
      </c>
      <c r="J87" s="7">
        <v>35935.305999999997</v>
      </c>
      <c r="K87" s="7">
        <v>10.32</v>
      </c>
      <c r="L87" s="7">
        <v>116858.09</v>
      </c>
      <c r="M87" s="7">
        <v>11.32</v>
      </c>
      <c r="N87" s="7">
        <v>1532962.68</v>
      </c>
    </row>
    <row r="88" spans="3:14" x14ac:dyDescent="0.2">
      <c r="D88">
        <v>6</v>
      </c>
      <c r="E88" s="7">
        <v>6.95</v>
      </c>
      <c r="F88" s="7">
        <v>264969.40000000002</v>
      </c>
      <c r="G88" s="7">
        <v>7.69</v>
      </c>
      <c r="H88" s="7">
        <v>379642.94</v>
      </c>
      <c r="I88" s="7">
        <v>4.1657450970000003</v>
      </c>
      <c r="J88" s="7">
        <v>89990.383780000004</v>
      </c>
      <c r="K88" s="7">
        <v>11.55</v>
      </c>
      <c r="L88" s="7">
        <v>83151.649999999994</v>
      </c>
      <c r="M88" s="7">
        <v>11.78</v>
      </c>
      <c r="N88" s="7">
        <v>2554647.52</v>
      </c>
    </row>
    <row r="89" spans="3:14" x14ac:dyDescent="0.2">
      <c r="D89">
        <v>7</v>
      </c>
      <c r="E89" s="7">
        <v>7.09</v>
      </c>
      <c r="F89" s="7">
        <v>1605641.19</v>
      </c>
      <c r="G89" s="7">
        <v>9.08</v>
      </c>
      <c r="H89" s="7">
        <v>276466.52</v>
      </c>
      <c r="I89" s="7">
        <v>17.47151831</v>
      </c>
      <c r="J89" s="7">
        <v>1953.29332</v>
      </c>
      <c r="K89" s="7">
        <v>12.28</v>
      </c>
      <c r="L89" s="7">
        <v>1690654.74</v>
      </c>
      <c r="M89" s="7">
        <v>13.19</v>
      </c>
      <c r="N89" s="7">
        <v>1236441.29</v>
      </c>
    </row>
    <row r="90" spans="3:14" x14ac:dyDescent="0.2">
      <c r="D90">
        <v>8</v>
      </c>
      <c r="E90" s="7">
        <v>8.44</v>
      </c>
      <c r="F90" s="7">
        <v>526323.22</v>
      </c>
      <c r="G90" s="7">
        <v>4.63</v>
      </c>
      <c r="H90" s="7">
        <v>1779941</v>
      </c>
      <c r="I90" s="7">
        <v>7.9688113310000004</v>
      </c>
      <c r="J90" s="7">
        <v>23710.688099999999</v>
      </c>
      <c r="K90" s="7">
        <v>13.48</v>
      </c>
      <c r="L90" s="7">
        <v>1725595.76</v>
      </c>
      <c r="M90" s="7">
        <v>11.88</v>
      </c>
      <c r="N90" s="7">
        <v>2158832.25</v>
      </c>
    </row>
    <row r="91" spans="3:14" x14ac:dyDescent="0.2">
      <c r="D91">
        <v>9</v>
      </c>
      <c r="E91" s="7">
        <v>7.16</v>
      </c>
      <c r="F91" s="7">
        <v>651847.92000000004</v>
      </c>
      <c r="G91" s="7">
        <v>4.99</v>
      </c>
      <c r="H91" s="7">
        <v>1374777.33</v>
      </c>
      <c r="I91" s="7">
        <v>7.2658175759999999</v>
      </c>
      <c r="J91" s="7">
        <v>74780.710399999996</v>
      </c>
      <c r="K91" s="7">
        <v>9.75</v>
      </c>
      <c r="L91" s="7">
        <v>42319.89</v>
      </c>
      <c r="M91" s="7">
        <v>11.27</v>
      </c>
      <c r="N91" s="7">
        <v>1721605.39</v>
      </c>
    </row>
    <row r="92" spans="3:14" x14ac:dyDescent="0.2">
      <c r="D92">
        <v>10</v>
      </c>
      <c r="E92" s="7">
        <v>6.43</v>
      </c>
      <c r="F92" s="7">
        <v>517689.91</v>
      </c>
      <c r="G92" s="7">
        <v>7.42</v>
      </c>
      <c r="H92" s="7">
        <v>489880.77</v>
      </c>
      <c r="I92" s="7">
        <v>4.8725074380000004</v>
      </c>
      <c r="J92" s="7">
        <v>89800.786460000003</v>
      </c>
      <c r="K92" s="7">
        <v>12.63</v>
      </c>
      <c r="L92" s="7">
        <v>1261.04</v>
      </c>
      <c r="M92" s="7">
        <v>11.37</v>
      </c>
      <c r="N92" s="7">
        <v>1595871.51</v>
      </c>
    </row>
    <row r="93" spans="3:14" x14ac:dyDescent="0.2">
      <c r="D93">
        <v>11</v>
      </c>
      <c r="E93" s="7">
        <v>6.5</v>
      </c>
      <c r="F93" s="7">
        <v>440697.81</v>
      </c>
      <c r="G93" s="7">
        <v>4.43</v>
      </c>
      <c r="H93" s="7">
        <v>800375.67</v>
      </c>
      <c r="I93" s="7">
        <v>5.2517757119999997</v>
      </c>
      <c r="J93" s="7">
        <v>24621.19616</v>
      </c>
      <c r="K93" s="7">
        <v>11.06</v>
      </c>
      <c r="L93" s="7">
        <v>571827.72</v>
      </c>
      <c r="M93" s="7">
        <v>10.34</v>
      </c>
      <c r="N93" s="7">
        <v>1435432.49</v>
      </c>
    </row>
    <row r="94" spans="3:14" x14ac:dyDescent="0.2">
      <c r="D94">
        <v>12</v>
      </c>
      <c r="E94" s="7">
        <v>6.29</v>
      </c>
      <c r="F94" s="7">
        <v>83246.62</v>
      </c>
      <c r="G94" s="7">
        <v>10.4</v>
      </c>
      <c r="H94" s="7">
        <v>193506.5</v>
      </c>
      <c r="I94" s="7"/>
      <c r="J94" s="7"/>
      <c r="K94" s="7">
        <v>10.74</v>
      </c>
      <c r="L94" s="7">
        <v>15489.66</v>
      </c>
      <c r="M94" s="7">
        <v>10.37</v>
      </c>
      <c r="N94" s="7">
        <v>1964878.6</v>
      </c>
    </row>
    <row r="95" spans="3:14" x14ac:dyDescent="0.2">
      <c r="C95" t="s">
        <v>94</v>
      </c>
      <c r="E95" s="7">
        <v>104.11999999999999</v>
      </c>
      <c r="F95" s="7">
        <v>4209787.66</v>
      </c>
      <c r="G95" s="7">
        <v>122.65</v>
      </c>
      <c r="H95" s="7">
        <v>5472647.2200000007</v>
      </c>
      <c r="I95" s="7">
        <v>85.451348808999995</v>
      </c>
      <c r="J95" s="7">
        <v>344119.13579999999</v>
      </c>
      <c r="K95" s="7">
        <v>152.33000000000001</v>
      </c>
      <c r="L95" s="7">
        <v>8837644.7699999996</v>
      </c>
      <c r="M95" s="7">
        <v>126.85000000000001</v>
      </c>
      <c r="N95" s="7">
        <v>15517552.979999999</v>
      </c>
    </row>
    <row r="96" spans="3:14" x14ac:dyDescent="0.2">
      <c r="C96">
        <v>2012</v>
      </c>
      <c r="D96">
        <v>1</v>
      </c>
      <c r="E96" s="7">
        <v>11.8</v>
      </c>
      <c r="F96" s="7">
        <v>9173.44</v>
      </c>
      <c r="G96" s="7">
        <v>20.059999999999999</v>
      </c>
      <c r="H96" s="7">
        <v>81253.64</v>
      </c>
      <c r="I96" s="7">
        <v>19.27634059</v>
      </c>
      <c r="J96" s="7">
        <v>1104.5146199999999</v>
      </c>
      <c r="K96" s="7">
        <v>11.12</v>
      </c>
      <c r="L96" s="7">
        <v>317665.90000000002</v>
      </c>
      <c r="M96" s="7">
        <v>12.22</v>
      </c>
      <c r="N96" s="7">
        <v>830559.72</v>
      </c>
    </row>
    <row r="97" spans="3:27" x14ac:dyDescent="0.2">
      <c r="D97">
        <v>2</v>
      </c>
      <c r="E97" s="7">
        <v>0</v>
      </c>
      <c r="F97" s="7">
        <v>0</v>
      </c>
      <c r="G97" s="7">
        <v>3.83</v>
      </c>
      <c r="H97" s="7">
        <v>103998.75</v>
      </c>
      <c r="I97" s="7">
        <v>8.4172730009999999</v>
      </c>
      <c r="J97" s="7">
        <v>6064.9096200000004</v>
      </c>
      <c r="K97" s="7">
        <v>15.09</v>
      </c>
      <c r="L97" s="7">
        <v>143.30000000000001</v>
      </c>
      <c r="M97" s="7">
        <v>10.16</v>
      </c>
      <c r="N97" s="7">
        <v>258553.42</v>
      </c>
    </row>
    <row r="98" spans="3:27" x14ac:dyDescent="0.2">
      <c r="D98">
        <v>3</v>
      </c>
      <c r="E98" s="7">
        <v>5.94</v>
      </c>
      <c r="F98" s="7">
        <v>21190.85</v>
      </c>
      <c r="G98" s="7">
        <v>10.3</v>
      </c>
      <c r="H98" s="7">
        <v>12213.62</v>
      </c>
      <c r="I98" s="7">
        <v>3.7727410250000002</v>
      </c>
      <c r="J98" s="7">
        <v>5277.8602799999999</v>
      </c>
      <c r="K98" s="7">
        <v>8.74</v>
      </c>
      <c r="L98" s="7">
        <v>481929.93</v>
      </c>
      <c r="M98" s="7">
        <v>13.07</v>
      </c>
      <c r="N98" s="7">
        <v>67518.69</v>
      </c>
    </row>
    <row r="99" spans="3:27" x14ac:dyDescent="0.2">
      <c r="D99">
        <v>4</v>
      </c>
      <c r="E99" s="7">
        <v>0</v>
      </c>
      <c r="F99" s="7">
        <v>0</v>
      </c>
      <c r="G99" s="7">
        <v>18.170000000000002</v>
      </c>
      <c r="H99" s="7">
        <v>26391.56</v>
      </c>
      <c r="I99" s="7"/>
      <c r="J99" s="7"/>
      <c r="K99" s="7">
        <v>10.5</v>
      </c>
      <c r="L99" s="7">
        <v>335192.63</v>
      </c>
      <c r="M99" s="7">
        <v>13.87</v>
      </c>
      <c r="N99" s="7">
        <v>94293.8</v>
      </c>
    </row>
    <row r="100" spans="3:27" x14ac:dyDescent="0.2">
      <c r="D100">
        <v>5</v>
      </c>
      <c r="E100" s="7">
        <v>12.1</v>
      </c>
      <c r="F100" s="7">
        <v>2482.41</v>
      </c>
      <c r="G100" s="7">
        <v>13.48</v>
      </c>
      <c r="H100" s="7">
        <v>33038.5</v>
      </c>
      <c r="I100" s="7">
        <v>5.9328500550000003</v>
      </c>
      <c r="J100" s="7">
        <v>69696.856679999997</v>
      </c>
      <c r="K100" s="7">
        <v>3.88</v>
      </c>
      <c r="L100" s="7">
        <v>14301.37</v>
      </c>
      <c r="M100" s="7">
        <v>12.36</v>
      </c>
      <c r="N100" s="7">
        <v>1944880.49</v>
      </c>
    </row>
    <row r="101" spans="3:27" x14ac:dyDescent="0.2">
      <c r="D101">
        <v>6</v>
      </c>
      <c r="E101" s="7">
        <v>5.9</v>
      </c>
      <c r="F101" s="7">
        <v>763130.74</v>
      </c>
      <c r="G101" s="7">
        <v>5.81</v>
      </c>
      <c r="H101" s="7">
        <v>207499.25</v>
      </c>
      <c r="I101" s="7">
        <v>6.1944568020000004</v>
      </c>
      <c r="J101" s="7">
        <v>85444.457339999994</v>
      </c>
      <c r="K101" s="7">
        <v>10.84</v>
      </c>
      <c r="L101" s="7">
        <v>2539239.4300000002</v>
      </c>
      <c r="M101" s="7">
        <v>12.17</v>
      </c>
      <c r="N101" s="7">
        <v>3463843.83</v>
      </c>
    </row>
    <row r="102" spans="3:27" x14ac:dyDescent="0.2">
      <c r="D102">
        <v>7</v>
      </c>
      <c r="E102" s="7">
        <v>5.71</v>
      </c>
      <c r="F102" s="7">
        <v>1580856.81</v>
      </c>
      <c r="G102" s="7">
        <v>9.42</v>
      </c>
      <c r="H102" s="7">
        <v>309725.48</v>
      </c>
      <c r="I102" s="7">
        <v>4.5439900050000004</v>
      </c>
      <c r="J102" s="7">
        <v>16499.376079999998</v>
      </c>
      <c r="K102" s="7">
        <v>9.1300000000000008</v>
      </c>
      <c r="L102" s="7">
        <v>60214.79</v>
      </c>
      <c r="M102" s="7">
        <v>11.84</v>
      </c>
      <c r="N102" s="7">
        <v>2200607.59</v>
      </c>
    </row>
    <row r="103" spans="3:27" x14ac:dyDescent="0.2">
      <c r="D103">
        <v>8</v>
      </c>
      <c r="E103" s="7">
        <v>6.91</v>
      </c>
      <c r="F103" s="7">
        <v>805710.86</v>
      </c>
      <c r="G103" s="7">
        <v>8.66</v>
      </c>
      <c r="H103" s="7">
        <v>163131.18</v>
      </c>
      <c r="I103" s="7">
        <v>4.7286853539999996</v>
      </c>
      <c r="J103" s="7">
        <v>196605.807</v>
      </c>
      <c r="K103" s="7">
        <v>11.14</v>
      </c>
      <c r="L103" s="7">
        <v>3110643.86</v>
      </c>
      <c r="M103" s="7">
        <v>11.46</v>
      </c>
      <c r="N103" s="7">
        <v>1922413.21</v>
      </c>
    </row>
    <row r="104" spans="3:27" x14ac:dyDescent="0.2">
      <c r="D104">
        <v>9</v>
      </c>
      <c r="E104" s="7">
        <v>5.88</v>
      </c>
      <c r="F104" s="7">
        <v>435512.53</v>
      </c>
      <c r="G104" s="7">
        <v>6.34</v>
      </c>
      <c r="H104" s="7">
        <v>124896.38</v>
      </c>
      <c r="I104" s="7">
        <v>6.789821162</v>
      </c>
      <c r="J104" s="7">
        <v>103251.1731</v>
      </c>
      <c r="K104" s="7">
        <v>4.28</v>
      </c>
      <c r="L104" s="7">
        <v>48629.51</v>
      </c>
      <c r="M104" s="7">
        <v>11.07</v>
      </c>
      <c r="N104" s="7">
        <v>1857943.51</v>
      </c>
    </row>
    <row r="105" spans="3:27" x14ac:dyDescent="0.2">
      <c r="D105">
        <v>10</v>
      </c>
      <c r="E105" s="7">
        <v>6.81</v>
      </c>
      <c r="F105" s="7">
        <v>502830.74</v>
      </c>
      <c r="G105" s="7">
        <v>5.12</v>
      </c>
      <c r="H105" s="7">
        <v>170666.59</v>
      </c>
      <c r="I105" s="7">
        <v>4.2246448069999998</v>
      </c>
      <c r="J105" s="7">
        <v>106648.49249999999</v>
      </c>
      <c r="K105" s="7">
        <v>10.41</v>
      </c>
      <c r="L105" s="7">
        <v>1276023.03</v>
      </c>
      <c r="M105" s="7">
        <v>10.42</v>
      </c>
      <c r="N105" s="7">
        <v>2261973.19</v>
      </c>
    </row>
    <row r="106" spans="3:27" x14ac:dyDescent="0.2">
      <c r="D106">
        <v>11</v>
      </c>
      <c r="E106" s="7">
        <v>6.57</v>
      </c>
      <c r="F106" s="7">
        <v>389693.82</v>
      </c>
      <c r="G106" s="7">
        <v>6</v>
      </c>
      <c r="H106" s="7">
        <v>256640.33</v>
      </c>
      <c r="I106" s="7">
        <v>3.9594322489999998</v>
      </c>
      <c r="J106" s="7">
        <v>16411.191279999999</v>
      </c>
      <c r="K106" s="7">
        <v>13.02</v>
      </c>
      <c r="L106" s="7">
        <v>54610.64</v>
      </c>
      <c r="M106" s="7">
        <v>10.3</v>
      </c>
      <c r="N106" s="7">
        <v>1408743.36</v>
      </c>
    </row>
    <row r="107" spans="3:27" x14ac:dyDescent="0.2">
      <c r="D107">
        <v>12</v>
      </c>
      <c r="E107" s="7">
        <v>3.51</v>
      </c>
      <c r="F107" s="7">
        <v>179317.54</v>
      </c>
      <c r="G107" s="7">
        <v>5.99</v>
      </c>
      <c r="H107" s="7">
        <v>166601.26</v>
      </c>
      <c r="I107" s="7">
        <v>8.7265077689999995</v>
      </c>
      <c r="J107" s="7">
        <v>44658.98734</v>
      </c>
      <c r="K107" s="7">
        <v>12.51</v>
      </c>
      <c r="L107" s="7">
        <v>1750673.31</v>
      </c>
      <c r="M107" s="7">
        <v>10.63</v>
      </c>
      <c r="N107" s="7">
        <v>2273333.6</v>
      </c>
    </row>
    <row r="108" spans="3:27" x14ac:dyDescent="0.2">
      <c r="C108" t="s">
        <v>95</v>
      </c>
      <c r="E108" s="7">
        <v>71.13000000000001</v>
      </c>
      <c r="F108" s="7">
        <v>4689899.74</v>
      </c>
      <c r="G108" s="7">
        <v>113.18</v>
      </c>
      <c r="H108" s="7">
        <v>1656056.54</v>
      </c>
      <c r="I108" s="7">
        <v>76.566742818999998</v>
      </c>
      <c r="J108" s="7">
        <v>651663.62583999999</v>
      </c>
      <c r="K108" s="7">
        <v>120.66</v>
      </c>
      <c r="L108" s="7">
        <v>9989267.7000000011</v>
      </c>
      <c r="M108" s="7">
        <v>139.57</v>
      </c>
      <c r="N108" s="7">
        <v>18584664.41</v>
      </c>
    </row>
    <row r="109" spans="3:27" x14ac:dyDescent="0.2">
      <c r="C109">
        <v>2013</v>
      </c>
      <c r="D109">
        <v>1</v>
      </c>
      <c r="E109" s="7">
        <v>7.98</v>
      </c>
      <c r="F109" s="7">
        <v>141345.09</v>
      </c>
      <c r="G109" s="7">
        <v>10.17</v>
      </c>
      <c r="H109" s="7">
        <v>87001.09</v>
      </c>
      <c r="I109" s="7"/>
      <c r="J109" s="7"/>
      <c r="K109" s="7">
        <v>10.94</v>
      </c>
      <c r="L109" s="7">
        <v>72073.440000000002</v>
      </c>
      <c r="M109" s="7">
        <v>11.74</v>
      </c>
      <c r="N109" s="7">
        <v>775779.32</v>
      </c>
      <c r="P109" t="s">
        <v>1</v>
      </c>
      <c r="Q109" t="s">
        <v>2</v>
      </c>
      <c r="R109" t="s">
        <v>118</v>
      </c>
      <c r="S109" t="s">
        <v>119</v>
      </c>
      <c r="T109" t="s">
        <v>120</v>
      </c>
      <c r="U109" t="s">
        <v>121</v>
      </c>
      <c r="V109" t="s">
        <v>122</v>
      </c>
      <c r="W109" t="s">
        <v>123</v>
      </c>
      <c r="X109" t="s">
        <v>124</v>
      </c>
      <c r="Y109" t="s">
        <v>125</v>
      </c>
      <c r="Z109" t="s">
        <v>126</v>
      </c>
      <c r="AA109" t="s">
        <v>127</v>
      </c>
    </row>
    <row r="110" spans="3:27" x14ac:dyDescent="0.2">
      <c r="D110">
        <v>2</v>
      </c>
      <c r="E110" s="7">
        <v>10.61</v>
      </c>
      <c r="F110" s="7">
        <v>11091.47</v>
      </c>
      <c r="G110" s="7">
        <v>8.7200000000000006</v>
      </c>
      <c r="H110" s="7">
        <v>89595.94</v>
      </c>
      <c r="I110" s="7">
        <v>22.032909780000001</v>
      </c>
      <c r="J110" s="7">
        <v>7517.7542000000003</v>
      </c>
      <c r="K110" s="7">
        <v>11.35</v>
      </c>
      <c r="L110" s="7">
        <v>2556680.1800000002</v>
      </c>
      <c r="M110" s="7">
        <v>10.44</v>
      </c>
      <c r="N110" s="7">
        <v>186585.81</v>
      </c>
      <c r="P110" s="9">
        <v>2013</v>
      </c>
      <c r="Q110">
        <v>1</v>
      </c>
      <c r="R110" s="7">
        <v>11.74</v>
      </c>
      <c r="S110" s="7">
        <v>775779.32</v>
      </c>
      <c r="T110">
        <v>11.74</v>
      </c>
      <c r="U110">
        <v>775779.32</v>
      </c>
      <c r="X110">
        <v>10.94</v>
      </c>
      <c r="Y110">
        <v>72073.440000000002</v>
      </c>
      <c r="Z110">
        <v>11.74</v>
      </c>
      <c r="AA110">
        <v>775779.32</v>
      </c>
    </row>
    <row r="111" spans="3:27" x14ac:dyDescent="0.2">
      <c r="D111">
        <v>3</v>
      </c>
      <c r="E111" s="7">
        <v>4.8499999999999996</v>
      </c>
      <c r="F111" s="7">
        <v>37033.279999999999</v>
      </c>
      <c r="G111" s="7">
        <v>5.64</v>
      </c>
      <c r="H111" s="7">
        <v>74287.02</v>
      </c>
      <c r="I111" s="7"/>
      <c r="J111" s="7"/>
      <c r="K111" s="7">
        <v>3.99</v>
      </c>
      <c r="L111" s="7">
        <v>3437</v>
      </c>
      <c r="M111" s="7">
        <v>14.14</v>
      </c>
      <c r="N111" s="7">
        <v>169958.57</v>
      </c>
      <c r="P111" s="9">
        <v>2013</v>
      </c>
      <c r="Q111">
        <v>2</v>
      </c>
      <c r="R111" s="7">
        <v>10.44</v>
      </c>
      <c r="S111" s="7">
        <v>186585.81</v>
      </c>
      <c r="T111">
        <v>10.44</v>
      </c>
      <c r="U111">
        <v>186585.81</v>
      </c>
      <c r="V111">
        <v>22.032909780000001</v>
      </c>
      <c r="W111">
        <v>7517.7542000000003</v>
      </c>
      <c r="X111">
        <v>11.35</v>
      </c>
      <c r="Y111">
        <v>2556680.1800000002</v>
      </c>
      <c r="Z111">
        <v>10.44</v>
      </c>
      <c r="AA111">
        <v>186585.81</v>
      </c>
    </row>
    <row r="112" spans="3:27" x14ac:dyDescent="0.2">
      <c r="D112">
        <v>4</v>
      </c>
      <c r="E112" s="7">
        <v>5.94</v>
      </c>
      <c r="F112" s="7">
        <v>60351.59</v>
      </c>
      <c r="G112" s="7">
        <v>5.17</v>
      </c>
      <c r="H112" s="7">
        <v>310825.59000000003</v>
      </c>
      <c r="I112" s="7"/>
      <c r="J112" s="7"/>
      <c r="K112" s="7">
        <v>12.23</v>
      </c>
      <c r="L112" s="7">
        <v>2265176.5</v>
      </c>
      <c r="M112" s="7">
        <v>8.36</v>
      </c>
      <c r="N112" s="7">
        <v>125154.07</v>
      </c>
      <c r="P112" s="9">
        <v>2013</v>
      </c>
      <c r="Q112">
        <v>3</v>
      </c>
      <c r="R112" s="7">
        <v>14.14</v>
      </c>
      <c r="S112" s="7">
        <v>169958.57</v>
      </c>
      <c r="T112">
        <v>14.14</v>
      </c>
      <c r="U112">
        <v>169958.57</v>
      </c>
      <c r="X112">
        <v>3.99</v>
      </c>
      <c r="Y112">
        <v>3437</v>
      </c>
      <c r="Z112">
        <v>14.14</v>
      </c>
      <c r="AA112">
        <v>169958.57</v>
      </c>
    </row>
    <row r="113" spans="3:27" x14ac:dyDescent="0.2">
      <c r="D113">
        <v>5</v>
      </c>
      <c r="E113" s="7">
        <v>0</v>
      </c>
      <c r="F113" s="7">
        <v>0</v>
      </c>
      <c r="G113" s="7">
        <v>4.75</v>
      </c>
      <c r="H113" s="7">
        <v>130410.15</v>
      </c>
      <c r="I113" s="7">
        <v>4.2758805730000002</v>
      </c>
      <c r="J113" s="7">
        <v>82942.213640000002</v>
      </c>
      <c r="K113" s="7">
        <v>5</v>
      </c>
      <c r="L113" s="7">
        <v>9358.61</v>
      </c>
      <c r="M113" s="7">
        <v>10.66</v>
      </c>
      <c r="N113" s="7">
        <v>1807014.58</v>
      </c>
      <c r="P113" s="9">
        <v>2013</v>
      </c>
      <c r="Q113">
        <v>4</v>
      </c>
      <c r="R113" s="7">
        <v>8.36</v>
      </c>
      <c r="S113" s="7">
        <v>125154.07</v>
      </c>
      <c r="T113">
        <v>8.36</v>
      </c>
      <c r="U113">
        <v>125154.07</v>
      </c>
      <c r="X113">
        <v>12.23</v>
      </c>
      <c r="Y113">
        <v>2265176.5</v>
      </c>
      <c r="Z113">
        <v>8.36</v>
      </c>
      <c r="AA113">
        <v>125154.07</v>
      </c>
    </row>
    <row r="114" spans="3:27" x14ac:dyDescent="0.2">
      <c r="D114">
        <v>6</v>
      </c>
      <c r="E114" s="7">
        <v>6.32</v>
      </c>
      <c r="F114" s="7">
        <v>473725.29</v>
      </c>
      <c r="G114" s="7">
        <v>5.62</v>
      </c>
      <c r="H114" s="7">
        <v>576643.77</v>
      </c>
      <c r="I114" s="7">
        <v>5.23183928</v>
      </c>
      <c r="J114" s="7">
        <v>326303.60159999999</v>
      </c>
      <c r="K114" s="7">
        <v>13.19</v>
      </c>
      <c r="L114" s="7">
        <v>2225524.21</v>
      </c>
      <c r="M114" s="7">
        <v>11.29</v>
      </c>
      <c r="N114" s="7">
        <v>3298179.86</v>
      </c>
      <c r="P114" s="9">
        <v>2013</v>
      </c>
      <c r="Q114">
        <v>5</v>
      </c>
      <c r="R114" s="7">
        <v>10.66</v>
      </c>
      <c r="S114" s="7">
        <v>1807014.58</v>
      </c>
      <c r="T114">
        <v>10.66</v>
      </c>
      <c r="U114">
        <v>1807014.58</v>
      </c>
      <c r="V114">
        <v>4.2758805730000002</v>
      </c>
      <c r="W114">
        <v>82942.213640000002</v>
      </c>
      <c r="X114">
        <v>5</v>
      </c>
      <c r="Y114">
        <v>9358.61</v>
      </c>
      <c r="Z114">
        <v>10.66</v>
      </c>
      <c r="AA114">
        <v>1807014.58</v>
      </c>
    </row>
    <row r="115" spans="3:27" x14ac:dyDescent="0.2">
      <c r="D115">
        <v>7</v>
      </c>
      <c r="E115" s="7">
        <v>6.55</v>
      </c>
      <c r="F115" s="7">
        <v>528620.43000000005</v>
      </c>
      <c r="G115" s="7">
        <v>7.29</v>
      </c>
      <c r="H115" s="7">
        <v>636371.44999999995</v>
      </c>
      <c r="I115" s="7">
        <v>5.6343844680000004</v>
      </c>
      <c r="J115" s="7">
        <v>13201.26456</v>
      </c>
      <c r="K115" s="7">
        <v>12.48</v>
      </c>
      <c r="L115" s="7">
        <v>738.55</v>
      </c>
      <c r="M115" s="7">
        <v>11.81</v>
      </c>
      <c r="N115" s="7">
        <v>1965240.16</v>
      </c>
      <c r="P115" s="9">
        <v>2013</v>
      </c>
      <c r="Q115">
        <v>6</v>
      </c>
      <c r="R115" s="7">
        <v>11.29</v>
      </c>
      <c r="S115" s="7">
        <v>3298179.86</v>
      </c>
      <c r="T115">
        <v>11.29</v>
      </c>
      <c r="U115">
        <v>3298179.86</v>
      </c>
      <c r="V115">
        <v>5.23183928</v>
      </c>
      <c r="W115">
        <v>326303.60159999999</v>
      </c>
      <c r="X115">
        <v>13.19</v>
      </c>
      <c r="Y115">
        <v>2225524.21</v>
      </c>
      <c r="Z115">
        <v>11.29</v>
      </c>
      <c r="AA115">
        <v>3298179.86</v>
      </c>
    </row>
    <row r="116" spans="3:27" x14ac:dyDescent="0.2">
      <c r="D116">
        <v>8</v>
      </c>
      <c r="E116" s="7">
        <v>6.47</v>
      </c>
      <c r="F116" s="7">
        <v>501175.06</v>
      </c>
      <c r="G116" s="7">
        <v>7.35</v>
      </c>
      <c r="H116" s="7">
        <v>235015.17</v>
      </c>
      <c r="I116" s="7">
        <v>3.708125441</v>
      </c>
      <c r="J116" s="7">
        <v>154140.41649999999</v>
      </c>
      <c r="K116" s="7">
        <v>12.32</v>
      </c>
      <c r="L116" s="7">
        <v>1634664</v>
      </c>
      <c r="M116" s="7">
        <v>11.05</v>
      </c>
      <c r="N116" s="7">
        <v>2413190.2799999998</v>
      </c>
      <c r="P116" s="9">
        <v>2013</v>
      </c>
      <c r="Q116">
        <v>7</v>
      </c>
      <c r="R116" s="7">
        <v>11.81</v>
      </c>
      <c r="S116" s="7">
        <v>1965240.16</v>
      </c>
      <c r="T116">
        <v>11.81</v>
      </c>
      <c r="U116">
        <v>1965240.16</v>
      </c>
      <c r="V116">
        <v>5.6343844680000004</v>
      </c>
      <c r="W116">
        <v>13201.26456</v>
      </c>
      <c r="X116">
        <v>12.48</v>
      </c>
      <c r="Y116">
        <v>738.55</v>
      </c>
      <c r="Z116">
        <v>11.81</v>
      </c>
      <c r="AA116">
        <v>1965240.16</v>
      </c>
    </row>
    <row r="117" spans="3:27" x14ac:dyDescent="0.2">
      <c r="D117">
        <v>9</v>
      </c>
      <c r="E117" s="7">
        <v>6.24</v>
      </c>
      <c r="F117" s="7">
        <v>257383.29</v>
      </c>
      <c r="G117" s="7">
        <v>7.18</v>
      </c>
      <c r="H117" s="7">
        <v>312626.77</v>
      </c>
      <c r="I117" s="7">
        <v>4.8827439139999997</v>
      </c>
      <c r="J117" s="7">
        <v>95806.171340000001</v>
      </c>
      <c r="K117" s="7">
        <v>12.79</v>
      </c>
      <c r="L117" s="7">
        <v>1145743.22</v>
      </c>
      <c r="M117" s="7">
        <v>10.8</v>
      </c>
      <c r="N117" s="7">
        <v>1976223.57</v>
      </c>
      <c r="P117" s="9">
        <v>2013</v>
      </c>
      <c r="Q117">
        <v>8</v>
      </c>
      <c r="R117" s="7">
        <v>11.05</v>
      </c>
      <c r="S117" s="7">
        <v>2413190.2799999998</v>
      </c>
      <c r="T117">
        <v>11.05</v>
      </c>
      <c r="U117">
        <v>2413190.2799999998</v>
      </c>
      <c r="V117">
        <v>3.708125441</v>
      </c>
      <c r="W117">
        <v>154140.41649999999</v>
      </c>
      <c r="X117">
        <v>12.32</v>
      </c>
      <c r="Y117">
        <v>1634664</v>
      </c>
      <c r="Z117">
        <v>11.05</v>
      </c>
      <c r="AA117">
        <v>2413190.2799999998</v>
      </c>
    </row>
    <row r="118" spans="3:27" x14ac:dyDescent="0.2">
      <c r="D118">
        <v>10</v>
      </c>
      <c r="E118" s="7">
        <v>6.99</v>
      </c>
      <c r="F118" s="7">
        <v>397398.98</v>
      </c>
      <c r="G118" s="7">
        <v>7.51</v>
      </c>
      <c r="H118" s="7">
        <v>396790.51</v>
      </c>
      <c r="I118" s="7">
        <v>4.7265283230000001</v>
      </c>
      <c r="J118" s="7">
        <v>100435.87330000001</v>
      </c>
      <c r="K118" s="7">
        <v>5.86</v>
      </c>
      <c r="L118" s="7">
        <v>14050.04</v>
      </c>
      <c r="M118" s="7">
        <v>10.95</v>
      </c>
      <c r="N118" s="7">
        <v>2141428.98</v>
      </c>
      <c r="P118" s="9">
        <v>2013</v>
      </c>
      <c r="Q118">
        <v>9</v>
      </c>
      <c r="R118" s="7">
        <v>10.8</v>
      </c>
      <c r="S118" s="7">
        <v>1976223.57</v>
      </c>
      <c r="T118">
        <v>10.8</v>
      </c>
      <c r="U118">
        <v>1976223.57</v>
      </c>
      <c r="V118">
        <v>4.8827439139999997</v>
      </c>
      <c r="W118">
        <v>95806.171340000001</v>
      </c>
      <c r="X118">
        <v>12.79</v>
      </c>
      <c r="Y118">
        <v>1145743.22</v>
      </c>
      <c r="Z118">
        <v>10.8</v>
      </c>
      <c r="AA118">
        <v>1976223.57</v>
      </c>
    </row>
    <row r="119" spans="3:27" x14ac:dyDescent="0.2">
      <c r="D119">
        <v>11</v>
      </c>
      <c r="E119" s="7">
        <v>6.75</v>
      </c>
      <c r="F119" s="7">
        <v>353846.63</v>
      </c>
      <c r="G119" s="7">
        <v>6.4</v>
      </c>
      <c r="H119" s="7">
        <v>400582.46</v>
      </c>
      <c r="I119" s="7">
        <v>3.5565179269999998</v>
      </c>
      <c r="J119" s="7">
        <v>56420.635040000001</v>
      </c>
      <c r="K119" s="7">
        <v>10.85</v>
      </c>
      <c r="L119" s="7">
        <v>9012.49</v>
      </c>
      <c r="M119" s="7">
        <v>11.05</v>
      </c>
      <c r="N119" s="7">
        <v>1336930.07</v>
      </c>
      <c r="P119" s="9">
        <v>2013</v>
      </c>
      <c r="Q119">
        <v>10</v>
      </c>
      <c r="R119" s="7">
        <v>10.95</v>
      </c>
      <c r="S119" s="7">
        <v>2141428.98</v>
      </c>
      <c r="T119">
        <v>10.95</v>
      </c>
      <c r="U119">
        <v>2141428.98</v>
      </c>
      <c r="V119">
        <v>4.7265283230000001</v>
      </c>
      <c r="W119">
        <v>100435.87330000001</v>
      </c>
      <c r="X119">
        <v>5.86</v>
      </c>
      <c r="Y119">
        <v>14050.04</v>
      </c>
      <c r="Z119">
        <v>10.95</v>
      </c>
      <c r="AA119">
        <v>2141428.98</v>
      </c>
    </row>
    <row r="120" spans="3:27" x14ac:dyDescent="0.2">
      <c r="D120">
        <v>12</v>
      </c>
      <c r="E120" s="7">
        <v>6.21</v>
      </c>
      <c r="F120" s="7">
        <v>105180.43</v>
      </c>
      <c r="G120" s="7">
        <v>7.24</v>
      </c>
      <c r="H120" s="7">
        <v>208059.23</v>
      </c>
      <c r="I120" s="7">
        <v>3.5163858559999999</v>
      </c>
      <c r="J120" s="7">
        <v>120339.1827</v>
      </c>
      <c r="K120" s="7">
        <v>11.54</v>
      </c>
      <c r="L120" s="7">
        <v>328704.43</v>
      </c>
      <c r="M120" s="7">
        <v>10.4</v>
      </c>
      <c r="N120" s="7">
        <v>1653923.56</v>
      </c>
      <c r="P120" s="9">
        <v>2013</v>
      </c>
      <c r="Q120">
        <v>11</v>
      </c>
      <c r="R120" s="7">
        <v>11.05</v>
      </c>
      <c r="S120" s="7">
        <v>1336930.07</v>
      </c>
      <c r="T120">
        <v>11.05</v>
      </c>
      <c r="U120">
        <v>1336930.07</v>
      </c>
      <c r="V120">
        <v>3.5565179269999998</v>
      </c>
      <c r="W120">
        <v>56420.635040000001</v>
      </c>
      <c r="X120">
        <v>10.85</v>
      </c>
      <c r="Y120">
        <v>9012.49</v>
      </c>
      <c r="Z120">
        <v>11.05</v>
      </c>
      <c r="AA120">
        <v>1336930.07</v>
      </c>
    </row>
    <row r="121" spans="3:27" x14ac:dyDescent="0.2">
      <c r="C121" t="s">
        <v>96</v>
      </c>
      <c r="E121" s="7">
        <v>74.91</v>
      </c>
      <c r="F121" s="7">
        <v>2867151.54</v>
      </c>
      <c r="G121" s="7">
        <v>83.04</v>
      </c>
      <c r="H121" s="7">
        <v>3458209.15</v>
      </c>
      <c r="I121" s="7">
        <v>57.565315562000009</v>
      </c>
      <c r="J121" s="7">
        <v>957107.11287999991</v>
      </c>
      <c r="K121" s="7">
        <v>122.53999999999999</v>
      </c>
      <c r="L121" s="7">
        <v>10265162.67</v>
      </c>
      <c r="M121" s="7">
        <v>132.69</v>
      </c>
      <c r="N121" s="7">
        <v>17849608.830000002</v>
      </c>
      <c r="P121" s="9">
        <v>2013</v>
      </c>
      <c r="Q121">
        <v>12</v>
      </c>
      <c r="R121" s="7">
        <v>10.4</v>
      </c>
      <c r="S121" s="7">
        <v>1653923.56</v>
      </c>
      <c r="T121">
        <v>10.4</v>
      </c>
      <c r="U121">
        <v>1653923.56</v>
      </c>
      <c r="V121">
        <v>3.5163858559999999</v>
      </c>
      <c r="W121">
        <v>120339.1827</v>
      </c>
      <c r="X121">
        <v>11.54</v>
      </c>
      <c r="Y121">
        <v>328704.43</v>
      </c>
      <c r="Z121">
        <v>10.4</v>
      </c>
      <c r="AA121">
        <v>1653923.56</v>
      </c>
    </row>
    <row r="122" spans="3:27" x14ac:dyDescent="0.2">
      <c r="C122">
        <v>2014</v>
      </c>
      <c r="D122">
        <v>1</v>
      </c>
      <c r="E122" s="7">
        <v>6.02</v>
      </c>
      <c r="F122" s="7">
        <v>6946.77</v>
      </c>
      <c r="G122" s="7">
        <v>7.62</v>
      </c>
      <c r="H122" s="7">
        <v>130055.2</v>
      </c>
      <c r="I122" s="7"/>
      <c r="J122" s="7"/>
      <c r="K122" s="7">
        <v>5.18</v>
      </c>
      <c r="L122" s="7">
        <v>4210.82</v>
      </c>
      <c r="M122" s="7">
        <v>10.44</v>
      </c>
      <c r="N122" s="7">
        <v>714528.37</v>
      </c>
      <c r="P122" s="10"/>
      <c r="Q122" s="10"/>
      <c r="R122" s="11"/>
      <c r="S122" s="11"/>
    </row>
    <row r="123" spans="3:27" x14ac:dyDescent="0.2">
      <c r="D123">
        <v>2</v>
      </c>
      <c r="E123" s="7">
        <v>6.07</v>
      </c>
      <c r="F123" s="7">
        <v>29266.39</v>
      </c>
      <c r="G123" s="7">
        <v>12.34</v>
      </c>
      <c r="H123" s="7">
        <v>64322.12</v>
      </c>
      <c r="I123" s="7"/>
      <c r="J123" s="7"/>
      <c r="K123" s="7">
        <v>12.81</v>
      </c>
      <c r="L123" s="7">
        <v>357529.84</v>
      </c>
      <c r="M123" s="7">
        <v>14.11</v>
      </c>
      <c r="N123" s="7">
        <v>113445.34</v>
      </c>
      <c r="P123" s="9">
        <v>2014</v>
      </c>
      <c r="Q123">
        <v>1</v>
      </c>
      <c r="R123" s="7">
        <v>10.44</v>
      </c>
      <c r="S123" s="7">
        <v>714528.37</v>
      </c>
      <c r="T123">
        <v>10.44</v>
      </c>
      <c r="U123">
        <v>714528.37</v>
      </c>
      <c r="X123">
        <v>5.18</v>
      </c>
      <c r="Y123">
        <v>4210.82</v>
      </c>
      <c r="Z123">
        <v>10.44</v>
      </c>
      <c r="AA123">
        <v>714528.37</v>
      </c>
    </row>
    <row r="124" spans="3:27" x14ac:dyDescent="0.2">
      <c r="D124">
        <v>3</v>
      </c>
      <c r="E124" s="7">
        <v>4.93</v>
      </c>
      <c r="F124" s="7">
        <v>33073.78</v>
      </c>
      <c r="G124" s="7">
        <v>8.34</v>
      </c>
      <c r="H124" s="7">
        <v>120066.05</v>
      </c>
      <c r="I124" s="7">
        <v>9.4808790740000006</v>
      </c>
      <c r="J124" s="7">
        <v>25150.304960000001</v>
      </c>
      <c r="K124" s="7">
        <v>12.92</v>
      </c>
      <c r="L124" s="7">
        <v>352785.5</v>
      </c>
      <c r="M124" s="7">
        <v>13.63</v>
      </c>
      <c r="N124" s="7">
        <v>137832.84</v>
      </c>
      <c r="P124" s="9">
        <v>2014</v>
      </c>
      <c r="Q124">
        <v>2</v>
      </c>
      <c r="R124" s="7">
        <v>14.11</v>
      </c>
      <c r="S124" s="7">
        <v>113445.34</v>
      </c>
      <c r="T124">
        <v>14.11</v>
      </c>
      <c r="U124">
        <v>113445.34</v>
      </c>
      <c r="X124">
        <v>12.81</v>
      </c>
      <c r="Y124">
        <v>357529.84</v>
      </c>
      <c r="Z124">
        <v>14.11</v>
      </c>
      <c r="AA124">
        <v>113445.34</v>
      </c>
    </row>
    <row r="125" spans="3:27" x14ac:dyDescent="0.2">
      <c r="D125">
        <v>4</v>
      </c>
      <c r="E125" s="7">
        <v>5.84</v>
      </c>
      <c r="F125" s="7">
        <v>47855.78</v>
      </c>
      <c r="G125" s="7">
        <v>3.99</v>
      </c>
      <c r="H125" s="7">
        <v>43005.61</v>
      </c>
      <c r="I125" s="7">
        <v>2.2906314440000002</v>
      </c>
      <c r="J125" s="7">
        <v>39220.1898</v>
      </c>
      <c r="K125" s="7">
        <v>10.95</v>
      </c>
      <c r="L125" s="7">
        <v>4223031.18</v>
      </c>
      <c r="M125" s="7">
        <v>13.19</v>
      </c>
      <c r="N125" s="7">
        <v>104062.47</v>
      </c>
      <c r="P125" s="9">
        <v>2014</v>
      </c>
      <c r="Q125">
        <v>3</v>
      </c>
      <c r="R125" s="7">
        <v>13.63</v>
      </c>
      <c r="S125" s="7">
        <v>137832.84</v>
      </c>
      <c r="T125">
        <v>13.63</v>
      </c>
      <c r="U125">
        <v>137832.84</v>
      </c>
      <c r="V125">
        <v>9.4808790740000006</v>
      </c>
      <c r="W125">
        <v>25150.304960000001</v>
      </c>
      <c r="X125">
        <v>12.92</v>
      </c>
      <c r="Y125">
        <v>352785.5</v>
      </c>
      <c r="Z125">
        <v>13.63</v>
      </c>
      <c r="AA125">
        <v>137832.84</v>
      </c>
    </row>
    <row r="126" spans="3:27" x14ac:dyDescent="0.2">
      <c r="D126">
        <v>5</v>
      </c>
      <c r="E126" s="7">
        <v>6.98</v>
      </c>
      <c r="F126" s="7">
        <v>22059.47</v>
      </c>
      <c r="G126" s="7">
        <v>6.98</v>
      </c>
      <c r="H126" s="7">
        <v>127473.59</v>
      </c>
      <c r="I126" s="7">
        <v>12.99960991</v>
      </c>
      <c r="J126" s="7">
        <v>2755.7750000000001</v>
      </c>
      <c r="K126" s="7">
        <v>11.37</v>
      </c>
      <c r="L126" s="7">
        <v>171054.26</v>
      </c>
      <c r="M126" s="7">
        <v>11.05</v>
      </c>
      <c r="N126" s="7">
        <v>1017125.69</v>
      </c>
      <c r="P126" s="9">
        <v>2014</v>
      </c>
      <c r="Q126">
        <v>4</v>
      </c>
      <c r="R126" s="7">
        <v>13.19</v>
      </c>
      <c r="S126" s="7">
        <v>104062.47</v>
      </c>
      <c r="T126">
        <v>13.19</v>
      </c>
      <c r="U126">
        <v>104062.47</v>
      </c>
      <c r="V126">
        <v>2.2906314440000002</v>
      </c>
      <c r="W126">
        <v>39220.1898</v>
      </c>
      <c r="X126">
        <v>10.95</v>
      </c>
      <c r="Y126">
        <v>4223031.18</v>
      </c>
      <c r="Z126">
        <v>13.19</v>
      </c>
      <c r="AA126">
        <v>104062.47</v>
      </c>
    </row>
    <row r="127" spans="3:27" x14ac:dyDescent="0.2">
      <c r="D127">
        <v>6</v>
      </c>
      <c r="E127" s="7">
        <v>5.95</v>
      </c>
      <c r="F127" s="7">
        <v>576474.01</v>
      </c>
      <c r="G127" s="7">
        <v>5.16</v>
      </c>
      <c r="H127" s="7">
        <v>750403.45</v>
      </c>
      <c r="I127" s="7">
        <v>3.140402291</v>
      </c>
      <c r="J127" s="7">
        <v>44434.116099999999</v>
      </c>
      <c r="K127" s="7">
        <v>12.97</v>
      </c>
      <c r="L127" s="7">
        <v>178186.21</v>
      </c>
      <c r="M127" s="7">
        <v>11.93</v>
      </c>
      <c r="N127" s="7">
        <v>3369184.06</v>
      </c>
      <c r="P127" s="9">
        <v>2014</v>
      </c>
      <c r="Q127">
        <v>5</v>
      </c>
      <c r="R127" s="7">
        <v>11.05</v>
      </c>
      <c r="S127" s="7">
        <v>1017125.69</v>
      </c>
      <c r="T127">
        <v>11.05</v>
      </c>
      <c r="U127">
        <v>1017125.69</v>
      </c>
      <c r="V127">
        <v>12.99960991</v>
      </c>
      <c r="W127">
        <v>2755.7750000000001</v>
      </c>
      <c r="X127">
        <v>11.37</v>
      </c>
      <c r="Y127">
        <v>171054.26</v>
      </c>
      <c r="Z127">
        <v>11.05</v>
      </c>
      <c r="AA127">
        <v>1017125.69</v>
      </c>
    </row>
    <row r="128" spans="3:27" x14ac:dyDescent="0.2">
      <c r="D128">
        <v>7</v>
      </c>
      <c r="E128" s="7">
        <v>6.52</v>
      </c>
      <c r="F128" s="7">
        <v>710111.73</v>
      </c>
      <c r="G128" s="7">
        <v>5.08</v>
      </c>
      <c r="H128" s="7">
        <v>837080.46</v>
      </c>
      <c r="I128" s="7">
        <v>5.0846945300000002</v>
      </c>
      <c r="J128" s="7">
        <v>515947.21860000002</v>
      </c>
      <c r="K128" s="7">
        <v>12.08</v>
      </c>
      <c r="L128" s="7">
        <v>3493171.89</v>
      </c>
      <c r="M128" s="7">
        <v>12.04</v>
      </c>
      <c r="N128" s="7">
        <v>2186949.9700000002</v>
      </c>
      <c r="P128" s="9">
        <v>2014</v>
      </c>
      <c r="Q128">
        <v>6</v>
      </c>
      <c r="R128" s="7">
        <v>11.93</v>
      </c>
      <c r="S128" s="7">
        <v>3369184.06</v>
      </c>
      <c r="T128">
        <v>11.93</v>
      </c>
      <c r="U128">
        <v>3369184.06</v>
      </c>
      <c r="V128">
        <v>3.140402291</v>
      </c>
      <c r="W128">
        <v>44434.116099999999</v>
      </c>
      <c r="X128">
        <v>12.97</v>
      </c>
      <c r="Y128">
        <v>178186.21</v>
      </c>
      <c r="Z128">
        <v>11.93</v>
      </c>
      <c r="AA128">
        <v>3369184.06</v>
      </c>
    </row>
    <row r="129" spans="3:27" x14ac:dyDescent="0.2">
      <c r="D129">
        <v>8</v>
      </c>
      <c r="E129" s="7">
        <v>6.45</v>
      </c>
      <c r="F129" s="7">
        <v>365495.86</v>
      </c>
      <c r="G129" s="7">
        <v>4.12</v>
      </c>
      <c r="H129" s="7">
        <v>1118428.01</v>
      </c>
      <c r="I129" s="7">
        <v>4.636670509</v>
      </c>
      <c r="J129" s="7">
        <v>426825.45510000002</v>
      </c>
      <c r="K129" s="7">
        <v>9.18</v>
      </c>
      <c r="L129" s="7">
        <v>75550.12</v>
      </c>
      <c r="M129" s="7">
        <v>12.22</v>
      </c>
      <c r="N129" s="7">
        <v>1698154.85</v>
      </c>
      <c r="P129" s="9">
        <v>2014</v>
      </c>
      <c r="Q129">
        <v>7</v>
      </c>
      <c r="R129" s="7">
        <v>12.04</v>
      </c>
      <c r="S129" s="7">
        <v>2186949.9700000002</v>
      </c>
      <c r="T129">
        <v>12.04</v>
      </c>
      <c r="U129">
        <v>2186949.9700000002</v>
      </c>
      <c r="V129">
        <v>5.0846945300000002</v>
      </c>
      <c r="W129">
        <v>515947.21860000002</v>
      </c>
      <c r="X129">
        <v>12.08</v>
      </c>
      <c r="Y129">
        <v>3493171.89</v>
      </c>
      <c r="Z129">
        <v>12.04</v>
      </c>
      <c r="AA129">
        <v>2186949.9700000002</v>
      </c>
    </row>
    <row r="130" spans="3:27" x14ac:dyDescent="0.2">
      <c r="D130">
        <v>9</v>
      </c>
      <c r="E130" s="7">
        <v>6.6</v>
      </c>
      <c r="F130" s="7">
        <v>507101.1</v>
      </c>
      <c r="G130" s="7">
        <v>6.28</v>
      </c>
      <c r="H130" s="7">
        <v>666261.75</v>
      </c>
      <c r="I130" s="7">
        <v>4.0737657949999999</v>
      </c>
      <c r="J130" s="7">
        <v>254014.11180000001</v>
      </c>
      <c r="K130" s="7">
        <v>13.06</v>
      </c>
      <c r="L130" s="7">
        <v>2300468.06</v>
      </c>
      <c r="M130" s="7">
        <v>12.61</v>
      </c>
      <c r="N130" s="7">
        <v>2399548.09</v>
      </c>
      <c r="P130" s="9">
        <v>2014</v>
      </c>
      <c r="Q130">
        <v>8</v>
      </c>
      <c r="R130" s="7">
        <v>12.22</v>
      </c>
      <c r="S130" s="7">
        <v>1698154.85</v>
      </c>
      <c r="T130">
        <v>12.22</v>
      </c>
      <c r="U130">
        <v>1698154.85</v>
      </c>
      <c r="V130">
        <v>4.636670509</v>
      </c>
      <c r="W130">
        <v>426825.45510000002</v>
      </c>
      <c r="X130">
        <v>9.18</v>
      </c>
      <c r="Y130">
        <v>75550.12</v>
      </c>
      <c r="Z130">
        <v>12.22</v>
      </c>
      <c r="AA130">
        <v>1698154.85</v>
      </c>
    </row>
    <row r="131" spans="3:27" x14ac:dyDescent="0.2">
      <c r="D131">
        <v>10</v>
      </c>
      <c r="E131" s="7">
        <v>6.64</v>
      </c>
      <c r="F131" s="7">
        <v>475422.85</v>
      </c>
      <c r="G131" s="7">
        <v>5.73</v>
      </c>
      <c r="H131" s="7">
        <v>981534.07</v>
      </c>
      <c r="I131" s="7">
        <v>4.8009746140000003</v>
      </c>
      <c r="J131" s="7">
        <v>159010.4221</v>
      </c>
      <c r="K131" s="7">
        <v>12.82</v>
      </c>
      <c r="L131" s="7">
        <v>3091631.22</v>
      </c>
      <c r="M131" s="7">
        <v>12.25</v>
      </c>
      <c r="N131" s="7">
        <v>2578585.2799999998</v>
      </c>
      <c r="P131" s="9">
        <v>2014</v>
      </c>
      <c r="Q131">
        <v>9</v>
      </c>
      <c r="R131" s="7">
        <v>12.61</v>
      </c>
      <c r="S131" s="7">
        <v>2399548.09</v>
      </c>
      <c r="T131">
        <v>12.61</v>
      </c>
      <c r="U131">
        <v>2399548.09</v>
      </c>
      <c r="V131">
        <v>4.0737657949999999</v>
      </c>
      <c r="W131">
        <v>254014.11180000001</v>
      </c>
      <c r="X131">
        <v>13.06</v>
      </c>
      <c r="Y131">
        <v>2300468.06</v>
      </c>
      <c r="Z131">
        <v>12.61</v>
      </c>
      <c r="AA131">
        <v>2399548.09</v>
      </c>
    </row>
    <row r="132" spans="3:27" x14ac:dyDescent="0.2">
      <c r="D132">
        <v>11</v>
      </c>
      <c r="E132" s="7">
        <v>6.61</v>
      </c>
      <c r="F132" s="7">
        <v>348200.59</v>
      </c>
      <c r="G132" s="7">
        <v>6.65</v>
      </c>
      <c r="H132" s="7">
        <v>566026.30000000005</v>
      </c>
      <c r="I132" s="7">
        <v>3.9798082720000001</v>
      </c>
      <c r="J132" s="7">
        <v>31415.834999999999</v>
      </c>
      <c r="K132" s="7">
        <v>14.57</v>
      </c>
      <c r="L132" s="7">
        <v>54989.84</v>
      </c>
      <c r="M132" s="7">
        <v>12.79</v>
      </c>
      <c r="N132" s="7">
        <v>1650640.88</v>
      </c>
      <c r="P132" s="9">
        <v>2014</v>
      </c>
      <c r="Q132">
        <v>10</v>
      </c>
      <c r="R132" s="7">
        <v>12.25</v>
      </c>
      <c r="S132" s="7">
        <v>2578585.2799999998</v>
      </c>
      <c r="T132">
        <v>12.25</v>
      </c>
      <c r="U132">
        <v>2578585.2799999998</v>
      </c>
      <c r="V132">
        <v>4.8009746140000003</v>
      </c>
      <c r="W132">
        <v>159010.4221</v>
      </c>
      <c r="X132">
        <v>12.82</v>
      </c>
      <c r="Y132">
        <v>3091631.22</v>
      </c>
      <c r="Z132">
        <v>12.25</v>
      </c>
      <c r="AA132">
        <v>2578585.2799999998</v>
      </c>
    </row>
    <row r="133" spans="3:27" x14ac:dyDescent="0.2">
      <c r="D133">
        <v>12</v>
      </c>
      <c r="E133" s="7">
        <v>7.16</v>
      </c>
      <c r="F133" s="7">
        <v>67163.88</v>
      </c>
      <c r="G133" s="7">
        <v>7.37</v>
      </c>
      <c r="H133" s="7">
        <v>312430.55</v>
      </c>
      <c r="I133" s="7">
        <v>6.071372233</v>
      </c>
      <c r="J133" s="7">
        <v>39658.909180000002</v>
      </c>
      <c r="K133" s="7">
        <v>12.88</v>
      </c>
      <c r="L133" s="7">
        <v>2509708.54</v>
      </c>
      <c r="M133" s="7">
        <v>12.09</v>
      </c>
      <c r="N133" s="7">
        <v>2215565.94</v>
      </c>
      <c r="P133" s="9">
        <v>2014</v>
      </c>
      <c r="Q133">
        <v>11</v>
      </c>
      <c r="R133" s="7">
        <v>12.79</v>
      </c>
      <c r="S133" s="7">
        <v>1650640.88</v>
      </c>
      <c r="T133">
        <v>12.79</v>
      </c>
      <c r="U133">
        <v>1650640.88</v>
      </c>
      <c r="V133">
        <v>3.9798082720000001</v>
      </c>
      <c r="W133">
        <v>31415.834999999999</v>
      </c>
      <c r="X133">
        <v>14.57</v>
      </c>
      <c r="Y133">
        <v>54989.84</v>
      </c>
      <c r="Z133">
        <v>12.79</v>
      </c>
      <c r="AA133">
        <v>1650640.88</v>
      </c>
    </row>
    <row r="134" spans="3:27" x14ac:dyDescent="0.2">
      <c r="C134" t="s">
        <v>97</v>
      </c>
      <c r="E134" s="7">
        <v>75.77000000000001</v>
      </c>
      <c r="F134" s="7">
        <v>3189172.21</v>
      </c>
      <c r="G134" s="7">
        <v>79.66</v>
      </c>
      <c r="H134" s="7">
        <v>5717087.1600000001</v>
      </c>
      <c r="I134" s="7">
        <v>56.558808671999998</v>
      </c>
      <c r="J134" s="7">
        <v>1538432.33764</v>
      </c>
      <c r="K134" s="7">
        <v>140.79</v>
      </c>
      <c r="L134" s="7">
        <v>16812317.48</v>
      </c>
      <c r="M134" s="7">
        <v>148.35</v>
      </c>
      <c r="N134" s="7">
        <v>18185623.780000001</v>
      </c>
      <c r="P134" s="9">
        <v>2014</v>
      </c>
      <c r="Q134">
        <v>12</v>
      </c>
      <c r="R134" s="7">
        <v>12.09</v>
      </c>
      <c r="S134" s="7">
        <v>2215565.94</v>
      </c>
      <c r="T134">
        <v>12.09</v>
      </c>
      <c r="U134">
        <v>2215565.94</v>
      </c>
      <c r="V134">
        <v>6.071372233</v>
      </c>
      <c r="W134">
        <v>39658.909180000002</v>
      </c>
      <c r="X134">
        <v>12.88</v>
      </c>
      <c r="Y134">
        <v>2509708.54</v>
      </c>
      <c r="Z134">
        <v>12.09</v>
      </c>
      <c r="AA134">
        <v>2215565.94</v>
      </c>
    </row>
    <row r="135" spans="3:27" x14ac:dyDescent="0.2">
      <c r="C135">
        <v>2015</v>
      </c>
      <c r="D135">
        <v>1</v>
      </c>
      <c r="E135" s="7">
        <v>10.63</v>
      </c>
      <c r="F135" s="7">
        <v>51729.31</v>
      </c>
      <c r="G135" s="7">
        <v>6.78</v>
      </c>
      <c r="H135" s="7">
        <v>192640.08</v>
      </c>
      <c r="I135" s="7">
        <v>13.015576380000001</v>
      </c>
      <c r="J135" s="7">
        <v>9645.2124999999996</v>
      </c>
      <c r="K135" s="7">
        <v>14.77</v>
      </c>
      <c r="L135" s="7">
        <v>49859.69</v>
      </c>
      <c r="M135" s="7">
        <v>11.24</v>
      </c>
      <c r="N135" s="7">
        <v>1164934.44</v>
      </c>
      <c r="P135" s="10"/>
      <c r="Q135" s="10"/>
      <c r="R135" s="11"/>
      <c r="S135" s="11"/>
    </row>
    <row r="136" spans="3:27" x14ac:dyDescent="0.2">
      <c r="D136">
        <v>2</v>
      </c>
      <c r="E136" s="7">
        <v>5.89</v>
      </c>
      <c r="F136" s="7">
        <v>15117.11</v>
      </c>
      <c r="G136" s="7">
        <v>5.62</v>
      </c>
      <c r="H136" s="7">
        <v>117184.61</v>
      </c>
      <c r="I136" s="7">
        <v>5.8224835280000002</v>
      </c>
      <c r="J136" s="7">
        <v>485.01639999999998</v>
      </c>
      <c r="K136" s="7">
        <v>15.52</v>
      </c>
      <c r="L136" s="7">
        <v>67386.41</v>
      </c>
      <c r="M136" s="7">
        <v>11.68</v>
      </c>
      <c r="N136" s="7">
        <v>347858.17</v>
      </c>
      <c r="P136" s="9">
        <v>2015</v>
      </c>
      <c r="Q136">
        <v>1</v>
      </c>
      <c r="R136" s="7">
        <v>11.24</v>
      </c>
      <c r="S136" s="7">
        <v>1164934.44</v>
      </c>
      <c r="T136">
        <v>11.24</v>
      </c>
      <c r="U136">
        <v>1164934.44</v>
      </c>
      <c r="V136">
        <v>13.015576380000001</v>
      </c>
      <c r="W136">
        <v>9645.2124999999996</v>
      </c>
      <c r="X136">
        <v>14.77</v>
      </c>
      <c r="Y136">
        <v>49859.69</v>
      </c>
      <c r="Z136">
        <v>11.24</v>
      </c>
      <c r="AA136">
        <v>1164934.44</v>
      </c>
    </row>
    <row r="137" spans="3:27" x14ac:dyDescent="0.2">
      <c r="D137">
        <v>3</v>
      </c>
      <c r="E137" s="7">
        <v>5.55</v>
      </c>
      <c r="F137" s="7">
        <v>62655.43</v>
      </c>
      <c r="G137" s="7">
        <v>6.69</v>
      </c>
      <c r="H137" s="7">
        <v>96725.69</v>
      </c>
      <c r="I137" s="7">
        <v>9.7714146720000006</v>
      </c>
      <c r="J137" s="7">
        <v>5765.0812999999998</v>
      </c>
      <c r="K137" s="7">
        <v>13.61</v>
      </c>
      <c r="L137" s="7">
        <v>3160186.08</v>
      </c>
      <c r="M137" s="7">
        <v>13.09</v>
      </c>
      <c r="N137" s="7">
        <v>191321.33</v>
      </c>
      <c r="P137" s="9">
        <v>2015</v>
      </c>
      <c r="Q137">
        <v>2</v>
      </c>
      <c r="R137" s="7">
        <v>11.68</v>
      </c>
      <c r="S137" s="7">
        <v>347858.17</v>
      </c>
      <c r="T137">
        <v>11.68</v>
      </c>
      <c r="U137">
        <v>347858.17</v>
      </c>
      <c r="V137">
        <v>5.8224835280000002</v>
      </c>
      <c r="W137">
        <v>485.01639999999998</v>
      </c>
      <c r="X137">
        <v>15.52</v>
      </c>
      <c r="Y137">
        <v>67386.41</v>
      </c>
      <c r="Z137">
        <v>11.68</v>
      </c>
      <c r="AA137">
        <v>347858.17</v>
      </c>
    </row>
    <row r="138" spans="3:27" x14ac:dyDescent="0.2">
      <c r="D138">
        <v>4</v>
      </c>
      <c r="E138" s="7">
        <v>6.57</v>
      </c>
      <c r="F138" s="7">
        <v>35243.129999999997</v>
      </c>
      <c r="G138" s="7">
        <v>5.4</v>
      </c>
      <c r="H138" s="7">
        <v>107451.19</v>
      </c>
      <c r="I138" s="7">
        <v>6.0198205089999997</v>
      </c>
      <c r="J138" s="7">
        <v>39760.3217</v>
      </c>
      <c r="K138" s="7">
        <v>15.51</v>
      </c>
      <c r="L138" s="7">
        <v>47681.52</v>
      </c>
      <c r="M138" s="7">
        <v>10.31</v>
      </c>
      <c r="N138" s="7">
        <v>214610.94</v>
      </c>
      <c r="P138" s="9">
        <v>2015</v>
      </c>
      <c r="Q138">
        <v>3</v>
      </c>
      <c r="R138" s="7">
        <v>13.09</v>
      </c>
      <c r="S138" s="7">
        <v>191321.33</v>
      </c>
      <c r="T138">
        <v>13.09</v>
      </c>
      <c r="U138">
        <v>191321.33</v>
      </c>
      <c r="V138">
        <v>9.7714146720000006</v>
      </c>
      <c r="W138">
        <v>5765.0812999999998</v>
      </c>
      <c r="X138">
        <v>13.61</v>
      </c>
      <c r="Y138">
        <v>3160186.08</v>
      </c>
      <c r="Z138">
        <v>13.09</v>
      </c>
      <c r="AA138">
        <v>191321.33</v>
      </c>
    </row>
    <row r="139" spans="3:27" x14ac:dyDescent="0.2">
      <c r="D139">
        <v>5</v>
      </c>
      <c r="E139" s="7">
        <v>0</v>
      </c>
      <c r="F139" s="7">
        <v>0</v>
      </c>
      <c r="G139" s="7">
        <v>4.67</v>
      </c>
      <c r="H139" s="7">
        <v>167811.6</v>
      </c>
      <c r="I139" s="7"/>
      <c r="J139" s="7"/>
      <c r="K139" s="7">
        <v>14.14</v>
      </c>
      <c r="L139" s="7">
        <v>2163124.64</v>
      </c>
      <c r="M139" s="7">
        <v>10.97</v>
      </c>
      <c r="N139" s="7">
        <v>219544.88</v>
      </c>
      <c r="P139" s="9">
        <v>2015</v>
      </c>
      <c r="Q139">
        <v>4</v>
      </c>
      <c r="R139" s="7">
        <v>10.31</v>
      </c>
      <c r="S139" s="7">
        <v>214610.94</v>
      </c>
      <c r="T139">
        <v>10.31</v>
      </c>
      <c r="U139">
        <v>214610.94</v>
      </c>
      <c r="V139">
        <v>6.0198205089999997</v>
      </c>
      <c r="W139">
        <v>39760.3217</v>
      </c>
      <c r="X139">
        <v>15.51</v>
      </c>
      <c r="Y139">
        <v>47681.52</v>
      </c>
      <c r="Z139">
        <v>10.31</v>
      </c>
      <c r="AA139">
        <v>214610.94</v>
      </c>
    </row>
    <row r="140" spans="3:27" x14ac:dyDescent="0.2">
      <c r="D140">
        <v>6</v>
      </c>
      <c r="E140" s="7">
        <v>6.1</v>
      </c>
      <c r="F140" s="7">
        <v>315336.25</v>
      </c>
      <c r="G140" s="7">
        <v>6.65</v>
      </c>
      <c r="H140" s="7">
        <v>629329.88</v>
      </c>
      <c r="I140" s="7">
        <v>4.4683555679999998</v>
      </c>
      <c r="J140" s="7">
        <v>687887.73699999996</v>
      </c>
      <c r="K140" s="7">
        <v>13.94</v>
      </c>
      <c r="L140" s="7">
        <v>3145600.32</v>
      </c>
      <c r="M140" s="7">
        <v>12.81</v>
      </c>
      <c r="N140" s="7">
        <v>3739833.59</v>
      </c>
      <c r="P140" s="9">
        <v>2015</v>
      </c>
      <c r="Q140">
        <v>5</v>
      </c>
      <c r="R140" s="7">
        <v>10.97</v>
      </c>
      <c r="S140" s="7">
        <v>219544.88</v>
      </c>
      <c r="T140">
        <v>10.97</v>
      </c>
      <c r="U140">
        <v>219544.88</v>
      </c>
      <c r="X140">
        <v>14.14</v>
      </c>
      <c r="Y140">
        <v>2163124.64</v>
      </c>
      <c r="Z140">
        <v>10.97</v>
      </c>
      <c r="AA140">
        <v>219544.88</v>
      </c>
    </row>
    <row r="141" spans="3:27" x14ac:dyDescent="0.2">
      <c r="D141">
        <v>7</v>
      </c>
      <c r="E141" s="7">
        <v>6.51</v>
      </c>
      <c r="F141" s="7">
        <v>599230.15</v>
      </c>
      <c r="G141" s="7">
        <v>6.66</v>
      </c>
      <c r="H141" s="7">
        <v>1451751.79</v>
      </c>
      <c r="I141" s="7">
        <v>4.3567900640000001</v>
      </c>
      <c r="J141" s="7">
        <v>540786.67209999997</v>
      </c>
      <c r="K141" s="7">
        <v>16.3</v>
      </c>
      <c r="L141" s="7">
        <v>16382.53</v>
      </c>
      <c r="M141" s="7">
        <v>15.28</v>
      </c>
      <c r="N141" s="7">
        <v>1873900.54</v>
      </c>
      <c r="P141" s="9">
        <v>2015</v>
      </c>
      <c r="Q141">
        <v>6</v>
      </c>
      <c r="R141" s="7">
        <v>12.81</v>
      </c>
      <c r="S141" s="7">
        <v>3739833.59</v>
      </c>
      <c r="T141">
        <v>12.81</v>
      </c>
      <c r="U141">
        <v>3739833.59</v>
      </c>
      <c r="V141">
        <v>4.4683555679999998</v>
      </c>
      <c r="W141">
        <v>687887.73699999996</v>
      </c>
      <c r="X141">
        <v>13.94</v>
      </c>
      <c r="Y141">
        <v>3145600.32</v>
      </c>
      <c r="Z141">
        <v>12.81</v>
      </c>
      <c r="AA141">
        <v>3739833.59</v>
      </c>
    </row>
    <row r="142" spans="3:27" x14ac:dyDescent="0.2">
      <c r="D142">
        <v>8</v>
      </c>
      <c r="E142" s="7">
        <v>6.37</v>
      </c>
      <c r="F142" s="7">
        <v>677681.71</v>
      </c>
      <c r="G142" s="7">
        <v>6.96</v>
      </c>
      <c r="H142" s="7">
        <v>1130782.73</v>
      </c>
      <c r="I142" s="7">
        <v>4.8281763340000001</v>
      </c>
      <c r="J142" s="7">
        <v>186078.74650000001</v>
      </c>
      <c r="K142" s="7">
        <v>14.24</v>
      </c>
      <c r="L142" s="7">
        <v>1327130.53</v>
      </c>
      <c r="M142" s="7">
        <v>13.96</v>
      </c>
      <c r="N142" s="7">
        <v>2022635.23</v>
      </c>
      <c r="P142" s="9">
        <v>2015</v>
      </c>
      <c r="Q142">
        <v>7</v>
      </c>
      <c r="R142" s="7">
        <v>15.28</v>
      </c>
      <c r="S142" s="7">
        <v>1873900.54</v>
      </c>
      <c r="T142">
        <v>15.28</v>
      </c>
      <c r="U142">
        <v>1873900.54</v>
      </c>
      <c r="V142">
        <v>4.3567900640000001</v>
      </c>
      <c r="W142">
        <v>540786.67209999997</v>
      </c>
      <c r="X142">
        <v>16.3</v>
      </c>
      <c r="Y142">
        <v>16382.53</v>
      </c>
      <c r="Z142">
        <v>15.28</v>
      </c>
      <c r="AA142">
        <v>1873900.54</v>
      </c>
    </row>
    <row r="143" spans="3:27" x14ac:dyDescent="0.2">
      <c r="D143">
        <v>9</v>
      </c>
      <c r="E143" s="7">
        <v>7.41</v>
      </c>
      <c r="F143" s="7">
        <v>604788</v>
      </c>
      <c r="G143" s="7">
        <v>7.21</v>
      </c>
      <c r="H143" s="7">
        <v>743582.34</v>
      </c>
      <c r="I143" s="7">
        <v>5.3242475249999996</v>
      </c>
      <c r="J143" s="7">
        <v>69800.473819999999</v>
      </c>
      <c r="K143" s="7">
        <v>7.38</v>
      </c>
      <c r="L143" s="7">
        <v>17158.560000000001</v>
      </c>
      <c r="M143" s="7">
        <v>14.51</v>
      </c>
      <c r="N143" s="7">
        <v>2405174.2799999998</v>
      </c>
      <c r="P143" s="9">
        <v>2015</v>
      </c>
      <c r="Q143">
        <v>8</v>
      </c>
      <c r="R143" s="7">
        <v>13.96</v>
      </c>
      <c r="S143" s="7">
        <v>2022635.23</v>
      </c>
      <c r="T143">
        <v>13.96</v>
      </c>
      <c r="U143">
        <v>2022635.23</v>
      </c>
      <c r="V143">
        <v>4.8281763340000001</v>
      </c>
      <c r="W143">
        <v>186078.74650000001</v>
      </c>
      <c r="X143">
        <v>14.24</v>
      </c>
      <c r="Y143">
        <v>1327130.53</v>
      </c>
      <c r="Z143">
        <v>13.96</v>
      </c>
      <c r="AA143">
        <v>2022635.23</v>
      </c>
    </row>
    <row r="144" spans="3:27" x14ac:dyDescent="0.2">
      <c r="D144">
        <v>10</v>
      </c>
      <c r="E144" s="7">
        <v>6.98</v>
      </c>
      <c r="F144" s="7">
        <v>572183.81000000006</v>
      </c>
      <c r="G144" s="7">
        <v>7.59</v>
      </c>
      <c r="H144" s="7">
        <v>891830.1</v>
      </c>
      <c r="I144" s="7">
        <v>1.7904521410000001</v>
      </c>
      <c r="J144" s="7">
        <v>35326.830880000001</v>
      </c>
      <c r="K144" s="7">
        <v>12.39</v>
      </c>
      <c r="L144" s="7">
        <v>389236.68</v>
      </c>
      <c r="M144" s="7">
        <v>14.52</v>
      </c>
      <c r="N144" s="7">
        <v>2099633.79</v>
      </c>
      <c r="P144" s="9">
        <v>2015</v>
      </c>
      <c r="Q144">
        <v>9</v>
      </c>
      <c r="R144" s="7">
        <v>14.51</v>
      </c>
      <c r="S144" s="7">
        <v>2405174.2799999998</v>
      </c>
      <c r="T144">
        <v>14.51</v>
      </c>
      <c r="U144">
        <v>2405174.2799999998</v>
      </c>
      <c r="V144">
        <v>5.3242475249999996</v>
      </c>
      <c r="W144">
        <v>69800.473819999999</v>
      </c>
      <c r="X144">
        <v>7.38</v>
      </c>
      <c r="Y144">
        <v>17158.560000000001</v>
      </c>
      <c r="Z144">
        <v>14.51</v>
      </c>
      <c r="AA144">
        <v>2405174.2799999998</v>
      </c>
    </row>
    <row r="145" spans="3:27" x14ac:dyDescent="0.2">
      <c r="D145">
        <v>11</v>
      </c>
      <c r="E145" s="7">
        <v>7.24</v>
      </c>
      <c r="F145" s="7">
        <v>430642.52</v>
      </c>
      <c r="G145" s="7">
        <v>6.26</v>
      </c>
      <c r="H145" s="7">
        <v>914440.73</v>
      </c>
      <c r="I145" s="7">
        <v>4.9368154110000004</v>
      </c>
      <c r="J145" s="7">
        <v>197337.7408</v>
      </c>
      <c r="K145" s="7">
        <v>14.37</v>
      </c>
      <c r="L145" s="7">
        <v>12718.45</v>
      </c>
      <c r="M145" s="7">
        <v>15.17</v>
      </c>
      <c r="N145" s="7">
        <v>2041919.04</v>
      </c>
      <c r="P145" s="9">
        <v>2015</v>
      </c>
      <c r="Q145">
        <v>10</v>
      </c>
      <c r="R145" s="7">
        <v>14.52</v>
      </c>
      <c r="S145" s="7">
        <v>2099633.79</v>
      </c>
      <c r="T145">
        <v>14.52</v>
      </c>
      <c r="U145">
        <v>2099633.79</v>
      </c>
      <c r="V145">
        <v>1.7904521410000001</v>
      </c>
      <c r="W145">
        <v>35326.830880000001</v>
      </c>
      <c r="X145">
        <v>12.39</v>
      </c>
      <c r="Y145">
        <v>389236.68</v>
      </c>
      <c r="Z145">
        <v>14.52</v>
      </c>
      <c r="AA145">
        <v>2099633.79</v>
      </c>
    </row>
    <row r="146" spans="3:27" x14ac:dyDescent="0.2">
      <c r="D146">
        <v>12</v>
      </c>
      <c r="E146" s="7">
        <v>13.4</v>
      </c>
      <c r="F146" s="7">
        <v>19848.23</v>
      </c>
      <c r="G146" s="7">
        <v>4.66</v>
      </c>
      <c r="H146" s="7">
        <v>592627.30000000005</v>
      </c>
      <c r="I146" s="7">
        <v>7.5458557629999996</v>
      </c>
      <c r="J146" s="7">
        <v>151503.69099999999</v>
      </c>
      <c r="K146" s="7">
        <v>14.08</v>
      </c>
      <c r="L146" s="7">
        <v>304698.33</v>
      </c>
      <c r="M146" s="7">
        <v>15.02</v>
      </c>
      <c r="N146" s="7">
        <v>2382953.92</v>
      </c>
      <c r="P146" s="9">
        <v>2015</v>
      </c>
      <c r="Q146">
        <v>11</v>
      </c>
      <c r="R146" s="7">
        <v>15.17</v>
      </c>
      <c r="S146" s="7">
        <v>2041919.04</v>
      </c>
      <c r="T146">
        <v>15.17</v>
      </c>
      <c r="U146">
        <v>2041919.04</v>
      </c>
      <c r="V146">
        <v>4.9368154110000004</v>
      </c>
      <c r="W146">
        <v>197337.7408</v>
      </c>
      <c r="X146">
        <v>14.37</v>
      </c>
      <c r="Y146">
        <v>12718.45</v>
      </c>
      <c r="Z146">
        <v>15.17</v>
      </c>
      <c r="AA146">
        <v>2041919.04</v>
      </c>
    </row>
    <row r="147" spans="3:27" x14ac:dyDescent="0.2">
      <c r="C147" t="s">
        <v>98</v>
      </c>
      <c r="E147" s="7">
        <v>82.65</v>
      </c>
      <c r="F147" s="7">
        <v>3384455.65</v>
      </c>
      <c r="G147" s="7">
        <v>75.150000000000006</v>
      </c>
      <c r="H147" s="7">
        <v>7036158.04</v>
      </c>
      <c r="I147" s="7">
        <v>67.879987894999999</v>
      </c>
      <c r="J147" s="7">
        <v>1924377.5240000002</v>
      </c>
      <c r="K147" s="7">
        <v>166.25</v>
      </c>
      <c r="L147" s="7">
        <v>10701163.739999998</v>
      </c>
      <c r="M147" s="7">
        <v>158.56</v>
      </c>
      <c r="N147" s="7">
        <v>18704320.149999999</v>
      </c>
      <c r="P147" s="9">
        <v>2015</v>
      </c>
      <c r="Q147">
        <v>12</v>
      </c>
      <c r="R147" s="7">
        <v>15.02</v>
      </c>
      <c r="S147" s="7">
        <v>2382953.92</v>
      </c>
      <c r="T147">
        <v>15.02</v>
      </c>
      <c r="U147">
        <v>2382953.92</v>
      </c>
      <c r="V147">
        <v>7.5458557629999996</v>
      </c>
      <c r="W147">
        <v>151503.69099999999</v>
      </c>
      <c r="X147">
        <v>14.08</v>
      </c>
      <c r="Y147">
        <v>304698.33</v>
      </c>
      <c r="Z147">
        <v>15.02</v>
      </c>
      <c r="AA147">
        <v>2382953.92</v>
      </c>
    </row>
    <row r="148" spans="3:27" x14ac:dyDescent="0.2">
      <c r="C148">
        <v>2016</v>
      </c>
      <c r="D148">
        <v>1</v>
      </c>
      <c r="E148" s="7">
        <v>7.21</v>
      </c>
      <c r="F148" s="7">
        <v>237517.42</v>
      </c>
      <c r="G148" s="7">
        <v>7.19</v>
      </c>
      <c r="H148" s="7">
        <v>237499.78</v>
      </c>
      <c r="I148" s="7">
        <v>9.0349435880000009</v>
      </c>
      <c r="J148" s="7">
        <v>26276.86578</v>
      </c>
      <c r="K148" s="7">
        <v>9.7899999999999991</v>
      </c>
      <c r="L148" s="7">
        <v>194831.09</v>
      </c>
      <c r="M148" s="7">
        <v>14.49</v>
      </c>
      <c r="N148" s="7">
        <v>1453730.84</v>
      </c>
      <c r="P148" s="10"/>
      <c r="Q148" s="10"/>
      <c r="R148" s="11"/>
      <c r="S148" s="11"/>
    </row>
    <row r="149" spans="3:27" x14ac:dyDescent="0.2">
      <c r="D149">
        <v>2</v>
      </c>
      <c r="E149" s="7">
        <v>3.12</v>
      </c>
      <c r="F149" s="7">
        <v>20326.64</v>
      </c>
      <c r="G149" s="7">
        <v>6.24</v>
      </c>
      <c r="H149" s="7">
        <v>113820.35</v>
      </c>
      <c r="I149" s="7">
        <v>5.8332198750000002</v>
      </c>
      <c r="J149" s="7">
        <v>42496.255120000002</v>
      </c>
      <c r="K149" s="7">
        <v>14.72</v>
      </c>
      <c r="L149" s="7">
        <v>54264.52</v>
      </c>
      <c r="M149" s="7">
        <v>11.76</v>
      </c>
      <c r="N149" s="7">
        <v>600679.57999999996</v>
      </c>
      <c r="P149" s="9">
        <v>2016</v>
      </c>
      <c r="Q149">
        <v>1</v>
      </c>
      <c r="R149" s="7">
        <v>14.49</v>
      </c>
      <c r="S149" s="7">
        <v>1453730.84</v>
      </c>
      <c r="T149">
        <v>14.49</v>
      </c>
      <c r="U149">
        <v>1453730.84</v>
      </c>
      <c r="V149">
        <v>9.0349435880000009</v>
      </c>
      <c r="W149">
        <v>26276.86578</v>
      </c>
      <c r="X149">
        <v>9.7899999999999991</v>
      </c>
      <c r="Y149">
        <v>194831.09</v>
      </c>
      <c r="Z149">
        <v>14.49</v>
      </c>
      <c r="AA149">
        <v>1453730.84</v>
      </c>
    </row>
    <row r="150" spans="3:27" x14ac:dyDescent="0.2">
      <c r="D150">
        <v>3</v>
      </c>
      <c r="E150" s="7">
        <v>0</v>
      </c>
      <c r="F150" s="7">
        <v>0</v>
      </c>
      <c r="G150" s="7">
        <v>10.09</v>
      </c>
      <c r="H150" s="7">
        <v>202073.67</v>
      </c>
      <c r="I150" s="7">
        <v>7.1815877370000001</v>
      </c>
      <c r="J150" s="7">
        <v>10000.15632</v>
      </c>
      <c r="K150" s="7">
        <v>11.5</v>
      </c>
      <c r="L150" s="7">
        <v>2620464.2400000002</v>
      </c>
      <c r="M150" s="7">
        <v>13.44</v>
      </c>
      <c r="N150" s="7">
        <v>319493.53000000003</v>
      </c>
      <c r="P150" s="9">
        <v>2016</v>
      </c>
      <c r="Q150">
        <v>2</v>
      </c>
      <c r="R150" s="7">
        <v>11.76</v>
      </c>
      <c r="S150" s="7">
        <v>600679.57999999996</v>
      </c>
      <c r="T150">
        <v>11.76</v>
      </c>
      <c r="U150">
        <v>600679.57999999996</v>
      </c>
      <c r="V150">
        <v>5.8332198750000002</v>
      </c>
      <c r="W150">
        <v>42496.255120000002</v>
      </c>
      <c r="X150">
        <v>14.72</v>
      </c>
      <c r="Y150">
        <v>54264.52</v>
      </c>
      <c r="Z150">
        <v>11.76</v>
      </c>
      <c r="AA150">
        <v>600679.57999999996</v>
      </c>
    </row>
    <row r="151" spans="3:27" x14ac:dyDescent="0.2">
      <c r="D151">
        <v>4</v>
      </c>
      <c r="E151" s="7">
        <v>0</v>
      </c>
      <c r="F151" s="7">
        <v>0</v>
      </c>
      <c r="G151" s="7">
        <v>4.41</v>
      </c>
      <c r="H151" s="7">
        <v>182304.8</v>
      </c>
      <c r="I151" s="7"/>
      <c r="J151" s="7"/>
      <c r="K151" s="7">
        <v>15.53</v>
      </c>
      <c r="L151" s="7">
        <v>53010.09</v>
      </c>
      <c r="M151" s="7">
        <v>13.65</v>
      </c>
      <c r="N151" s="7">
        <v>256985.94</v>
      </c>
      <c r="P151" s="9">
        <v>2016</v>
      </c>
      <c r="Q151">
        <v>3</v>
      </c>
      <c r="R151" s="7">
        <v>13.44</v>
      </c>
      <c r="S151" s="7">
        <v>319493.53000000003</v>
      </c>
      <c r="T151">
        <v>13.44</v>
      </c>
      <c r="U151">
        <v>319493.53000000003</v>
      </c>
      <c r="V151">
        <v>7.1815877370000001</v>
      </c>
      <c r="W151">
        <v>10000.15632</v>
      </c>
      <c r="X151">
        <v>11.5</v>
      </c>
      <c r="Y151">
        <v>2620464.2400000002</v>
      </c>
      <c r="Z151">
        <v>13.44</v>
      </c>
      <c r="AA151">
        <v>319493.53000000003</v>
      </c>
    </row>
    <row r="152" spans="3:27" x14ac:dyDescent="0.2">
      <c r="D152">
        <v>5</v>
      </c>
      <c r="E152" s="7">
        <v>7.24</v>
      </c>
      <c r="F152" s="7">
        <v>36431.42</v>
      </c>
      <c r="G152" s="7">
        <v>5.98</v>
      </c>
      <c r="H152" s="7">
        <v>602510.63</v>
      </c>
      <c r="I152" s="7">
        <v>5.8062741219999996</v>
      </c>
      <c r="J152" s="7">
        <v>218336.7463</v>
      </c>
      <c r="K152" s="7">
        <v>12.26</v>
      </c>
      <c r="L152" s="7">
        <v>4061503.08</v>
      </c>
      <c r="M152" s="7">
        <v>15.3</v>
      </c>
      <c r="N152" s="7">
        <v>2250147.61</v>
      </c>
      <c r="P152" s="9">
        <v>2016</v>
      </c>
      <c r="Q152">
        <v>4</v>
      </c>
      <c r="R152" s="7">
        <v>13.65</v>
      </c>
      <c r="S152" s="7">
        <v>256985.94</v>
      </c>
      <c r="T152">
        <v>13.65</v>
      </c>
      <c r="U152">
        <v>256985.94</v>
      </c>
      <c r="X152">
        <v>15.53</v>
      </c>
      <c r="Y152">
        <v>53010.09</v>
      </c>
      <c r="Z152">
        <v>13.65</v>
      </c>
      <c r="AA152">
        <v>256985.94</v>
      </c>
    </row>
    <row r="153" spans="3:27" x14ac:dyDescent="0.2">
      <c r="D153">
        <v>6</v>
      </c>
      <c r="E153" s="7">
        <v>6.71</v>
      </c>
      <c r="F153" s="7">
        <v>1154610.31</v>
      </c>
      <c r="G153" s="7">
        <v>6.4</v>
      </c>
      <c r="H153" s="7">
        <v>1611479.04</v>
      </c>
      <c r="I153" s="7">
        <v>5.6824251449999998</v>
      </c>
      <c r="J153" s="7">
        <v>606731.26560000004</v>
      </c>
      <c r="K153" s="7">
        <v>16.22</v>
      </c>
      <c r="L153" s="7">
        <v>70519.179999999993</v>
      </c>
      <c r="M153" s="7">
        <v>15.23</v>
      </c>
      <c r="N153" s="7">
        <v>4000781.23</v>
      </c>
      <c r="P153" s="9">
        <v>2016</v>
      </c>
      <c r="Q153">
        <v>5</v>
      </c>
      <c r="R153" s="7">
        <v>15.3</v>
      </c>
      <c r="S153" s="7">
        <v>2250147.61</v>
      </c>
      <c r="T153">
        <v>15.3</v>
      </c>
      <c r="U153">
        <v>2250147.61</v>
      </c>
      <c r="V153">
        <v>5.8062741219999996</v>
      </c>
      <c r="W153">
        <v>218336.7463</v>
      </c>
      <c r="X153">
        <v>12.26</v>
      </c>
      <c r="Y153">
        <v>4061503.08</v>
      </c>
      <c r="Z153">
        <v>15.3</v>
      </c>
      <c r="AA153">
        <v>2250147.61</v>
      </c>
    </row>
    <row r="154" spans="3:27" x14ac:dyDescent="0.2">
      <c r="D154">
        <v>7</v>
      </c>
      <c r="E154" s="7">
        <v>7.78</v>
      </c>
      <c r="F154" s="7">
        <v>771898.53</v>
      </c>
      <c r="G154" s="7">
        <v>7.15</v>
      </c>
      <c r="H154" s="7">
        <v>1638794.33</v>
      </c>
      <c r="I154" s="7">
        <v>5.7121091650000002</v>
      </c>
      <c r="J154" s="7">
        <v>74838.03052</v>
      </c>
      <c r="K154" s="7">
        <v>13.95</v>
      </c>
      <c r="L154" s="7">
        <v>2116338.2000000002</v>
      </c>
      <c r="M154" s="7">
        <v>15.14</v>
      </c>
      <c r="N154" s="7">
        <v>2698196.94</v>
      </c>
      <c r="P154" s="9">
        <v>2016</v>
      </c>
      <c r="Q154">
        <v>6</v>
      </c>
      <c r="R154" s="7">
        <v>15.23</v>
      </c>
      <c r="S154" s="7">
        <v>4000781.23</v>
      </c>
      <c r="T154">
        <v>15.23</v>
      </c>
      <c r="U154">
        <v>4000781.23</v>
      </c>
      <c r="V154">
        <v>5.6824251449999998</v>
      </c>
      <c r="W154">
        <v>606731.26560000004</v>
      </c>
      <c r="X154">
        <v>16.22</v>
      </c>
      <c r="Y154">
        <v>70519.179999999993</v>
      </c>
      <c r="Z154">
        <v>15.23</v>
      </c>
      <c r="AA154">
        <v>4000781.23</v>
      </c>
    </row>
    <row r="155" spans="3:27" x14ac:dyDescent="0.2">
      <c r="D155">
        <v>8</v>
      </c>
      <c r="E155" s="7">
        <v>8.39</v>
      </c>
      <c r="F155" s="7">
        <v>698213.37</v>
      </c>
      <c r="G155" s="7">
        <v>8.59</v>
      </c>
      <c r="H155" s="7">
        <v>693647.6</v>
      </c>
      <c r="I155" s="7">
        <v>7.4181913909999997</v>
      </c>
      <c r="J155" s="7">
        <v>155110.44930000001</v>
      </c>
      <c r="K155" s="7">
        <v>14.85</v>
      </c>
      <c r="L155" s="7">
        <v>84540.56</v>
      </c>
      <c r="M155" s="7">
        <v>14.99</v>
      </c>
      <c r="N155" s="7">
        <v>2302348.6</v>
      </c>
      <c r="P155" s="9">
        <v>2016</v>
      </c>
      <c r="Q155">
        <v>7</v>
      </c>
      <c r="R155" s="7">
        <v>15.14</v>
      </c>
      <c r="S155" s="7">
        <v>2698196.94</v>
      </c>
      <c r="T155">
        <v>15.14</v>
      </c>
      <c r="U155">
        <v>2698196.94</v>
      </c>
      <c r="V155">
        <v>5.7121091650000002</v>
      </c>
      <c r="W155">
        <v>74838.03052</v>
      </c>
      <c r="X155">
        <v>13.95</v>
      </c>
      <c r="Y155">
        <v>2116338.2000000002</v>
      </c>
      <c r="Z155">
        <v>15.14</v>
      </c>
      <c r="AA155">
        <v>2698196.94</v>
      </c>
    </row>
    <row r="156" spans="3:27" x14ac:dyDescent="0.2">
      <c r="D156">
        <v>9</v>
      </c>
      <c r="E156" s="7">
        <v>8.25</v>
      </c>
      <c r="F156" s="7">
        <v>527403.48</v>
      </c>
      <c r="G156" s="7">
        <v>7.18</v>
      </c>
      <c r="H156" s="7">
        <v>868247.24</v>
      </c>
      <c r="I156" s="7">
        <v>8.1467481339999992</v>
      </c>
      <c r="J156" s="7">
        <v>10934.915199999999</v>
      </c>
      <c r="K156" s="7">
        <v>13.2</v>
      </c>
      <c r="L156" s="7">
        <v>4488690.0999999996</v>
      </c>
      <c r="M156" s="7">
        <v>13.91</v>
      </c>
      <c r="N156" s="7">
        <v>1965813.36</v>
      </c>
      <c r="P156" s="9">
        <v>2016</v>
      </c>
      <c r="Q156">
        <v>8</v>
      </c>
      <c r="R156" s="7">
        <v>14.99</v>
      </c>
      <c r="S156" s="7">
        <v>2302348.6</v>
      </c>
      <c r="T156">
        <v>14.99</v>
      </c>
      <c r="U156">
        <v>2302348.6</v>
      </c>
      <c r="V156">
        <v>7.4181913909999997</v>
      </c>
      <c r="W156">
        <v>155110.44930000001</v>
      </c>
      <c r="X156">
        <v>14.85</v>
      </c>
      <c r="Y156">
        <v>84540.56</v>
      </c>
      <c r="Z156">
        <v>14.99</v>
      </c>
      <c r="AA156">
        <v>2302348.6</v>
      </c>
    </row>
    <row r="157" spans="3:27" x14ac:dyDescent="0.2">
      <c r="D157">
        <v>10</v>
      </c>
      <c r="E157" s="7">
        <v>7.59</v>
      </c>
      <c r="F157" s="7">
        <v>414731.74</v>
      </c>
      <c r="G157" s="7">
        <v>7.04</v>
      </c>
      <c r="H157" s="7">
        <v>898042.73</v>
      </c>
      <c r="I157" s="7">
        <v>6.0500550559999997</v>
      </c>
      <c r="J157" s="7">
        <v>47760.88768</v>
      </c>
      <c r="K157" s="7">
        <v>14.66</v>
      </c>
      <c r="L157" s="7">
        <v>60596.19</v>
      </c>
      <c r="M157" s="7">
        <v>14.75</v>
      </c>
      <c r="N157" s="7">
        <v>2126005.46</v>
      </c>
      <c r="P157" s="9">
        <v>2016</v>
      </c>
      <c r="Q157">
        <v>9</v>
      </c>
      <c r="R157" s="7">
        <v>13.91</v>
      </c>
      <c r="S157" s="7">
        <v>1965813.36</v>
      </c>
      <c r="T157">
        <v>13.91</v>
      </c>
      <c r="U157">
        <v>1965813.36</v>
      </c>
      <c r="V157">
        <v>8.1467481339999992</v>
      </c>
      <c r="W157">
        <v>10934.915199999999</v>
      </c>
      <c r="X157">
        <v>13.2</v>
      </c>
      <c r="Y157">
        <v>4488690.0999999996</v>
      </c>
      <c r="Z157">
        <v>13.91</v>
      </c>
      <c r="AA157">
        <v>1965813.36</v>
      </c>
    </row>
    <row r="158" spans="3:27" x14ac:dyDescent="0.2">
      <c r="D158">
        <v>11</v>
      </c>
      <c r="E158" s="7">
        <v>7.22</v>
      </c>
      <c r="F158" s="7">
        <v>266572.15999999997</v>
      </c>
      <c r="G158" s="7">
        <v>6.35</v>
      </c>
      <c r="H158" s="7">
        <v>543547.94999999995</v>
      </c>
      <c r="I158" s="7">
        <v>6.766403425</v>
      </c>
      <c r="J158" s="7">
        <v>384873.74109999998</v>
      </c>
      <c r="K158" s="7">
        <v>13.77</v>
      </c>
      <c r="L158" s="7">
        <v>3550163.52</v>
      </c>
      <c r="M158" s="7">
        <v>14.44</v>
      </c>
      <c r="N158" s="7">
        <v>1957662.88</v>
      </c>
      <c r="P158" s="9">
        <v>2016</v>
      </c>
      <c r="Q158">
        <v>10</v>
      </c>
      <c r="R158" s="7">
        <v>14.75</v>
      </c>
      <c r="S158" s="7">
        <v>2126005.46</v>
      </c>
      <c r="T158">
        <v>14.75</v>
      </c>
      <c r="U158">
        <v>2126005.46</v>
      </c>
      <c r="V158">
        <v>6.0500550559999997</v>
      </c>
      <c r="W158">
        <v>47760.88768</v>
      </c>
      <c r="X158">
        <v>14.66</v>
      </c>
      <c r="Y158">
        <v>60596.19</v>
      </c>
      <c r="Z158">
        <v>14.75</v>
      </c>
      <c r="AA158">
        <v>2126005.46</v>
      </c>
    </row>
    <row r="159" spans="3:27" x14ac:dyDescent="0.2">
      <c r="D159">
        <v>12</v>
      </c>
      <c r="E159" s="7">
        <v>7.49</v>
      </c>
      <c r="F159" s="7">
        <v>11960.09</v>
      </c>
      <c r="G159" s="7">
        <v>7.09</v>
      </c>
      <c r="H159" s="7">
        <v>309458.71999999997</v>
      </c>
      <c r="I159" s="7">
        <v>5.6576665689999999</v>
      </c>
      <c r="J159" s="7">
        <v>145694.51730000001</v>
      </c>
      <c r="K159" s="7">
        <v>12.33</v>
      </c>
      <c r="L159" s="7">
        <v>268.95999999999998</v>
      </c>
      <c r="M159" s="7">
        <v>14.47</v>
      </c>
      <c r="N159" s="7">
        <v>1916039.65</v>
      </c>
      <c r="P159" s="9">
        <v>2016</v>
      </c>
      <c r="Q159">
        <v>11</v>
      </c>
      <c r="R159" s="7">
        <v>14.44</v>
      </c>
      <c r="S159" s="7">
        <v>1957662.88</v>
      </c>
      <c r="T159">
        <v>14.44</v>
      </c>
      <c r="U159">
        <v>1957662.88</v>
      </c>
      <c r="V159">
        <v>6.766403425</v>
      </c>
      <c r="W159">
        <v>384873.74109999998</v>
      </c>
      <c r="X159">
        <v>13.77</v>
      </c>
      <c r="Y159">
        <v>3550163.52</v>
      </c>
      <c r="Z159">
        <v>14.44</v>
      </c>
      <c r="AA159">
        <v>1957662.88</v>
      </c>
    </row>
    <row r="160" spans="3:27" x14ac:dyDescent="0.2">
      <c r="C160" t="s">
        <v>99</v>
      </c>
      <c r="E160" s="7">
        <v>71</v>
      </c>
      <c r="F160" s="7">
        <v>4139665.16</v>
      </c>
      <c r="G160" s="7">
        <v>83.71</v>
      </c>
      <c r="H160" s="7">
        <v>7901426.8399999999</v>
      </c>
      <c r="I160" s="7">
        <v>73.289624207000003</v>
      </c>
      <c r="J160" s="7">
        <v>1723053.8302199999</v>
      </c>
      <c r="K160" s="7">
        <v>162.78000000000003</v>
      </c>
      <c r="L160" s="7">
        <v>17355189.73</v>
      </c>
      <c r="M160" s="7">
        <v>171.57</v>
      </c>
      <c r="N160" s="7">
        <v>21847885.619999997</v>
      </c>
      <c r="P160" s="9">
        <v>2016</v>
      </c>
      <c r="Q160">
        <v>12</v>
      </c>
      <c r="R160" s="7">
        <v>14.47</v>
      </c>
      <c r="S160" s="7">
        <v>1916039.65</v>
      </c>
      <c r="T160">
        <v>14.47</v>
      </c>
      <c r="U160">
        <v>1916039.65</v>
      </c>
      <c r="V160">
        <v>5.6576665689999999</v>
      </c>
      <c r="W160">
        <v>145694.51730000001</v>
      </c>
      <c r="X160">
        <v>12.33</v>
      </c>
      <c r="Y160">
        <v>268.95999999999998</v>
      </c>
      <c r="Z160">
        <v>14.47</v>
      </c>
      <c r="AA160">
        <v>1916039.65</v>
      </c>
    </row>
    <row r="161" spans="3:27" x14ac:dyDescent="0.2">
      <c r="C161">
        <v>2017</v>
      </c>
      <c r="D161">
        <v>1</v>
      </c>
      <c r="E161" s="7">
        <v>6.65</v>
      </c>
      <c r="F161" s="7">
        <v>35135.1</v>
      </c>
      <c r="G161" s="7">
        <v>10.66</v>
      </c>
      <c r="H161" s="7">
        <v>96544.91</v>
      </c>
      <c r="I161" s="7">
        <v>5.2512901259999998</v>
      </c>
      <c r="J161" s="7">
        <v>1444.0261</v>
      </c>
      <c r="K161" s="7">
        <v>12.65</v>
      </c>
      <c r="L161" s="7">
        <v>3022353.24</v>
      </c>
      <c r="M161" s="7">
        <v>4.4400000000000004</v>
      </c>
      <c r="N161" s="7">
        <v>229302.53</v>
      </c>
      <c r="P161" s="10"/>
      <c r="Q161" s="10"/>
      <c r="R161" s="11"/>
      <c r="S161" s="11"/>
    </row>
    <row r="162" spans="3:27" x14ac:dyDescent="0.2">
      <c r="D162">
        <v>2</v>
      </c>
      <c r="E162" s="7">
        <v>0</v>
      </c>
      <c r="F162" s="7">
        <v>0</v>
      </c>
      <c r="G162" s="7">
        <v>8.39</v>
      </c>
      <c r="H162" s="7">
        <v>52915.4</v>
      </c>
      <c r="I162" s="7">
        <v>6.4803732370000002</v>
      </c>
      <c r="J162" s="7">
        <v>53285.665399999998</v>
      </c>
      <c r="K162" s="7">
        <v>12.08</v>
      </c>
      <c r="L162" s="7">
        <v>2768786.67</v>
      </c>
      <c r="M162" s="7">
        <v>16.7</v>
      </c>
      <c r="N162" s="7">
        <v>488180.03</v>
      </c>
      <c r="P162" s="9">
        <v>2017</v>
      </c>
      <c r="Q162">
        <v>1</v>
      </c>
      <c r="R162" s="7">
        <v>4.4400000000000004</v>
      </c>
      <c r="S162" s="7">
        <v>229302.53</v>
      </c>
      <c r="T162">
        <v>4.4400000000000004</v>
      </c>
      <c r="U162">
        <v>229302.53</v>
      </c>
      <c r="V162">
        <v>5.2512901259999998</v>
      </c>
      <c r="W162">
        <v>1444.0261</v>
      </c>
      <c r="X162">
        <v>12.65</v>
      </c>
      <c r="Y162">
        <v>3022353.24</v>
      </c>
      <c r="Z162">
        <v>4.4400000000000004</v>
      </c>
      <c r="AA162">
        <v>229302.53</v>
      </c>
    </row>
    <row r="163" spans="3:27" x14ac:dyDescent="0.2">
      <c r="D163">
        <v>3</v>
      </c>
      <c r="E163" s="7">
        <v>3.29</v>
      </c>
      <c r="F163" s="7">
        <v>26305.58</v>
      </c>
      <c r="G163" s="7">
        <v>8.4499999999999993</v>
      </c>
      <c r="H163" s="7">
        <v>111767.84</v>
      </c>
      <c r="I163" s="7">
        <v>8.9778292240000006</v>
      </c>
      <c r="J163" s="7">
        <v>8518.6516800000009</v>
      </c>
      <c r="K163" s="7">
        <v>2.0499999999999998</v>
      </c>
      <c r="L163" s="7">
        <v>2949.78</v>
      </c>
      <c r="M163" s="7">
        <v>11.81</v>
      </c>
      <c r="N163" s="7">
        <v>804584.89</v>
      </c>
      <c r="P163" s="9">
        <v>2017</v>
      </c>
      <c r="Q163">
        <v>2</v>
      </c>
      <c r="R163" s="7">
        <v>16.7</v>
      </c>
      <c r="S163" s="7">
        <v>488180.03</v>
      </c>
      <c r="T163">
        <v>16.7</v>
      </c>
      <c r="U163">
        <v>488180.03</v>
      </c>
      <c r="V163">
        <v>6.4803732370000002</v>
      </c>
      <c r="W163">
        <v>53285.665399999998</v>
      </c>
      <c r="X163">
        <v>12.08</v>
      </c>
      <c r="Y163">
        <v>2768786.67</v>
      </c>
      <c r="Z163">
        <v>16.7</v>
      </c>
      <c r="AA163">
        <v>488180.03</v>
      </c>
    </row>
    <row r="164" spans="3:27" x14ac:dyDescent="0.2">
      <c r="D164">
        <v>4</v>
      </c>
      <c r="E164" s="7">
        <v>0</v>
      </c>
      <c r="F164" s="7">
        <v>0</v>
      </c>
      <c r="G164" s="7">
        <v>9.25</v>
      </c>
      <c r="H164" s="7">
        <v>25293.66</v>
      </c>
      <c r="I164" s="7">
        <v>6.8258726410000001</v>
      </c>
      <c r="J164" s="7">
        <v>38036.308859999997</v>
      </c>
      <c r="K164" s="7">
        <v>12.45</v>
      </c>
      <c r="L164" s="7">
        <v>3225348.04</v>
      </c>
      <c r="M164" s="7">
        <v>3.88</v>
      </c>
      <c r="N164" s="7">
        <v>87102.33</v>
      </c>
      <c r="P164" s="9">
        <v>2017</v>
      </c>
      <c r="Q164">
        <v>3</v>
      </c>
      <c r="R164" s="7">
        <v>11.81</v>
      </c>
      <c r="S164" s="7">
        <v>804584.89</v>
      </c>
      <c r="T164">
        <v>11.81</v>
      </c>
      <c r="U164">
        <v>804584.89</v>
      </c>
      <c r="V164">
        <v>8.9778292240000006</v>
      </c>
      <c r="W164">
        <v>8518.6516800000009</v>
      </c>
      <c r="X164">
        <v>2.0499999999999998</v>
      </c>
      <c r="Y164">
        <v>2949.78</v>
      </c>
      <c r="Z164">
        <v>11.81</v>
      </c>
      <c r="AA164">
        <v>804584.89</v>
      </c>
    </row>
    <row r="165" spans="3:27" x14ac:dyDescent="0.2">
      <c r="D165">
        <v>5</v>
      </c>
      <c r="E165" s="7">
        <v>7.45</v>
      </c>
      <c r="F165" s="7">
        <v>112612.22</v>
      </c>
      <c r="G165" s="7">
        <v>6.32</v>
      </c>
      <c r="H165" s="7">
        <v>390392.69</v>
      </c>
      <c r="I165" s="7">
        <v>6.3486331639999998</v>
      </c>
      <c r="J165" s="7">
        <v>280048.4694</v>
      </c>
      <c r="K165" s="7">
        <v>13.92</v>
      </c>
      <c r="L165" s="7">
        <v>1386642.05</v>
      </c>
      <c r="M165" s="7">
        <v>11.93</v>
      </c>
      <c r="N165" s="7">
        <v>32357.21</v>
      </c>
      <c r="P165" s="9">
        <v>2017</v>
      </c>
      <c r="Q165">
        <v>4</v>
      </c>
      <c r="R165" s="7">
        <v>3.88</v>
      </c>
      <c r="S165" s="7">
        <v>87102.33</v>
      </c>
      <c r="T165">
        <v>3.88</v>
      </c>
      <c r="U165">
        <v>87102.33</v>
      </c>
      <c r="V165">
        <v>6.8258726410000001</v>
      </c>
      <c r="W165">
        <v>38036.308859999997</v>
      </c>
      <c r="X165">
        <v>12.45</v>
      </c>
      <c r="Y165">
        <v>3225348.04</v>
      </c>
      <c r="Z165">
        <v>3.88</v>
      </c>
      <c r="AA165">
        <v>87102.33</v>
      </c>
    </row>
    <row r="166" spans="3:27" x14ac:dyDescent="0.2">
      <c r="D166">
        <v>6</v>
      </c>
      <c r="E166" s="7">
        <v>7.8</v>
      </c>
      <c r="F166" s="7">
        <v>648505.71</v>
      </c>
      <c r="G166" s="7">
        <v>7.12</v>
      </c>
      <c r="H166" s="7">
        <v>1276107.1599999999</v>
      </c>
      <c r="I166" s="7">
        <v>6.4495095410000003</v>
      </c>
      <c r="J166" s="7">
        <v>518714.01669999998</v>
      </c>
      <c r="K166" s="7">
        <v>11.91</v>
      </c>
      <c r="L166" s="7">
        <v>437489.2</v>
      </c>
      <c r="M166" s="7">
        <v>17.05</v>
      </c>
      <c r="N166" s="7">
        <v>239053.56</v>
      </c>
      <c r="P166" s="9">
        <v>2017</v>
      </c>
      <c r="Q166">
        <v>5</v>
      </c>
      <c r="R166" s="7">
        <v>11.93</v>
      </c>
      <c r="S166" s="7">
        <v>32357.21</v>
      </c>
      <c r="T166">
        <v>11.93</v>
      </c>
      <c r="U166">
        <v>32357.21</v>
      </c>
      <c r="V166">
        <v>6.3486331639999998</v>
      </c>
      <c r="W166">
        <v>280048.4694</v>
      </c>
      <c r="X166">
        <v>13.92</v>
      </c>
      <c r="Y166">
        <v>1386642.05</v>
      </c>
      <c r="Z166">
        <v>11.93</v>
      </c>
      <c r="AA166">
        <v>32357.21</v>
      </c>
    </row>
    <row r="167" spans="3:27" x14ac:dyDescent="0.2">
      <c r="D167">
        <v>7</v>
      </c>
      <c r="E167" s="7">
        <v>7.74</v>
      </c>
      <c r="F167" s="7">
        <v>808971.5</v>
      </c>
      <c r="G167" s="7">
        <v>7.83</v>
      </c>
      <c r="H167" s="7">
        <v>1661497.56</v>
      </c>
      <c r="I167" s="7">
        <v>7.933868769</v>
      </c>
      <c r="J167" s="7">
        <v>99946.447700000004</v>
      </c>
      <c r="K167" s="7">
        <v>12.78</v>
      </c>
      <c r="L167" s="7">
        <v>201303.85</v>
      </c>
      <c r="M167" s="7">
        <v>3.91</v>
      </c>
      <c r="N167" s="7">
        <v>72721.600000000006</v>
      </c>
      <c r="P167" s="9">
        <v>2017</v>
      </c>
      <c r="Q167">
        <v>6</v>
      </c>
      <c r="R167" s="7">
        <v>17.05</v>
      </c>
      <c r="S167" s="7">
        <v>239053.56</v>
      </c>
      <c r="T167">
        <v>17.05</v>
      </c>
      <c r="U167">
        <v>239053.56</v>
      </c>
      <c r="V167">
        <v>6.4495095410000003</v>
      </c>
      <c r="W167">
        <v>518714.01669999998</v>
      </c>
      <c r="X167">
        <v>11.91</v>
      </c>
      <c r="Y167">
        <v>437489.2</v>
      </c>
      <c r="Z167">
        <v>17.05</v>
      </c>
      <c r="AA167">
        <v>239053.56</v>
      </c>
    </row>
    <row r="168" spans="3:27" x14ac:dyDescent="0.2">
      <c r="D168">
        <v>8</v>
      </c>
      <c r="E168" s="7">
        <v>8.25</v>
      </c>
      <c r="F168" s="7">
        <v>576520.31000000006</v>
      </c>
      <c r="G168" s="7">
        <v>6.11</v>
      </c>
      <c r="H168" s="7">
        <v>820115.88</v>
      </c>
      <c r="I168" s="7">
        <v>6.1616412479999996</v>
      </c>
      <c r="J168" s="7">
        <v>544838.76370000001</v>
      </c>
      <c r="K168" s="7">
        <v>16.75</v>
      </c>
      <c r="L168" s="7">
        <v>299.83</v>
      </c>
      <c r="M168" s="7">
        <v>13.79</v>
      </c>
      <c r="N168" s="7">
        <v>344132.36</v>
      </c>
      <c r="P168" s="9">
        <v>2017</v>
      </c>
      <c r="Q168">
        <v>7</v>
      </c>
      <c r="R168" s="7">
        <v>3.91</v>
      </c>
      <c r="S168" s="7">
        <v>72721.600000000006</v>
      </c>
      <c r="T168">
        <v>3.91</v>
      </c>
      <c r="U168">
        <v>72721.600000000006</v>
      </c>
      <c r="V168">
        <v>7.933868769</v>
      </c>
      <c r="W168">
        <v>99946.447700000004</v>
      </c>
      <c r="X168">
        <v>12.78</v>
      </c>
      <c r="Y168">
        <v>201303.85</v>
      </c>
      <c r="Z168">
        <v>3.91</v>
      </c>
      <c r="AA168">
        <v>72721.600000000006</v>
      </c>
    </row>
    <row r="169" spans="3:27" x14ac:dyDescent="0.2">
      <c r="D169">
        <v>9</v>
      </c>
      <c r="E169" s="7">
        <v>9.15</v>
      </c>
      <c r="F169" s="7">
        <v>281713.52</v>
      </c>
      <c r="G169" s="7">
        <v>8.2799999999999994</v>
      </c>
      <c r="H169" s="7">
        <v>819057.66</v>
      </c>
      <c r="I169" s="7">
        <v>6.3536562679999999</v>
      </c>
      <c r="J169" s="7">
        <v>473545.76209999999</v>
      </c>
      <c r="K169" s="7">
        <v>13.88</v>
      </c>
      <c r="L169" s="7">
        <v>170359.81</v>
      </c>
      <c r="M169" s="7">
        <v>10.5</v>
      </c>
      <c r="N169" s="7">
        <v>47913.01</v>
      </c>
      <c r="P169" s="9">
        <v>2017</v>
      </c>
      <c r="Q169">
        <v>8</v>
      </c>
      <c r="R169" s="7">
        <v>13.79</v>
      </c>
      <c r="S169" s="7">
        <v>344132.36</v>
      </c>
      <c r="T169">
        <v>13.79</v>
      </c>
      <c r="U169">
        <v>344132.36</v>
      </c>
      <c r="V169">
        <v>6.1616412479999996</v>
      </c>
      <c r="W169">
        <v>544838.76370000001</v>
      </c>
      <c r="X169">
        <v>16.75</v>
      </c>
      <c r="Y169">
        <v>299.83</v>
      </c>
      <c r="Z169">
        <v>13.79</v>
      </c>
      <c r="AA169">
        <v>344132.36</v>
      </c>
    </row>
    <row r="170" spans="3:27" x14ac:dyDescent="0.2">
      <c r="D170">
        <v>10</v>
      </c>
      <c r="E170" s="7">
        <v>8.4499999999999993</v>
      </c>
      <c r="F170" s="7">
        <v>205254.94</v>
      </c>
      <c r="G170" s="7">
        <v>7.06</v>
      </c>
      <c r="H170" s="7">
        <v>793713.29</v>
      </c>
      <c r="I170" s="7">
        <v>6.3823546779999996</v>
      </c>
      <c r="J170" s="7">
        <v>309447.07709999999</v>
      </c>
      <c r="K170" s="7">
        <v>11.95</v>
      </c>
      <c r="L170" s="7">
        <v>3021286.21</v>
      </c>
      <c r="M170" s="7">
        <v>16.88</v>
      </c>
      <c r="N170" s="7">
        <v>185452.63</v>
      </c>
      <c r="P170" s="9">
        <v>2017</v>
      </c>
      <c r="Q170">
        <v>9</v>
      </c>
      <c r="R170" s="7">
        <v>10.5</v>
      </c>
      <c r="S170" s="7">
        <v>47913.01</v>
      </c>
      <c r="T170">
        <v>10.5</v>
      </c>
      <c r="U170">
        <v>47913.01</v>
      </c>
      <c r="V170">
        <v>6.3536562679999999</v>
      </c>
      <c r="W170">
        <v>473545.76209999999</v>
      </c>
      <c r="X170">
        <v>13.88</v>
      </c>
      <c r="Y170">
        <v>170359.81</v>
      </c>
      <c r="Z170">
        <v>10.5</v>
      </c>
      <c r="AA170">
        <v>47913.01</v>
      </c>
    </row>
    <row r="171" spans="3:27" x14ac:dyDescent="0.2">
      <c r="D171">
        <v>11</v>
      </c>
      <c r="E171" s="7">
        <v>5.22</v>
      </c>
      <c r="F171" s="7">
        <v>61037.23</v>
      </c>
      <c r="G171" s="7">
        <v>7.52</v>
      </c>
      <c r="H171" s="7">
        <v>476362.02</v>
      </c>
      <c r="I171" s="7">
        <v>6.5855175859999999</v>
      </c>
      <c r="J171" s="7">
        <v>218279.42619999999</v>
      </c>
      <c r="K171" s="7">
        <v>12.61</v>
      </c>
      <c r="L171" s="7">
        <v>114541.03</v>
      </c>
      <c r="M171" s="7">
        <v>3.96</v>
      </c>
      <c r="N171" s="7">
        <v>75801.45</v>
      </c>
      <c r="P171" s="9">
        <v>2017</v>
      </c>
      <c r="Q171">
        <v>10</v>
      </c>
      <c r="R171" s="7">
        <v>16.88</v>
      </c>
      <c r="S171" s="7">
        <v>185452.63</v>
      </c>
      <c r="T171">
        <v>16.88</v>
      </c>
      <c r="U171">
        <v>185452.63</v>
      </c>
      <c r="V171">
        <v>6.3823546779999996</v>
      </c>
      <c r="W171">
        <v>309447.07709999999</v>
      </c>
      <c r="X171">
        <v>11.95</v>
      </c>
      <c r="Y171">
        <v>3021286.21</v>
      </c>
      <c r="Z171">
        <v>16.88</v>
      </c>
      <c r="AA171">
        <v>185452.63</v>
      </c>
    </row>
    <row r="172" spans="3:27" x14ac:dyDescent="0.2">
      <c r="D172">
        <v>12</v>
      </c>
      <c r="E172" s="7">
        <v>7.97</v>
      </c>
      <c r="F172" s="7">
        <v>10747.54</v>
      </c>
      <c r="G172" s="7">
        <v>9.4</v>
      </c>
      <c r="H172" s="7">
        <v>354735.09</v>
      </c>
      <c r="I172" s="7">
        <v>5.9534841519999997</v>
      </c>
      <c r="J172" s="7">
        <v>129508.1973</v>
      </c>
      <c r="K172" s="7">
        <v>12.08</v>
      </c>
      <c r="L172" s="7">
        <v>4955963.71</v>
      </c>
      <c r="M172" s="7">
        <v>12.72</v>
      </c>
      <c r="N172" s="7">
        <v>309167.09000000003</v>
      </c>
      <c r="P172" s="9">
        <v>2017</v>
      </c>
      <c r="Q172">
        <v>11</v>
      </c>
      <c r="R172" s="7">
        <v>3.96</v>
      </c>
      <c r="S172" s="7">
        <v>75801.45</v>
      </c>
      <c r="T172">
        <v>3.96</v>
      </c>
      <c r="U172">
        <v>75801.45</v>
      </c>
      <c r="V172">
        <v>6.5855175859999999</v>
      </c>
      <c r="W172">
        <v>218279.42619999999</v>
      </c>
      <c r="X172">
        <v>12.61</v>
      </c>
      <c r="Y172">
        <v>114541.03</v>
      </c>
      <c r="Z172">
        <v>3.96</v>
      </c>
      <c r="AA172">
        <v>75801.45</v>
      </c>
    </row>
    <row r="173" spans="3:27" x14ac:dyDescent="0.2">
      <c r="C173" t="s">
        <v>100</v>
      </c>
      <c r="E173" s="7">
        <v>71.97</v>
      </c>
      <c r="F173" s="7">
        <v>2766803.65</v>
      </c>
      <c r="G173" s="7">
        <v>96.39</v>
      </c>
      <c r="H173" s="7">
        <v>6878503.1600000001</v>
      </c>
      <c r="I173" s="7">
        <v>79.704030634000006</v>
      </c>
      <c r="J173" s="7">
        <v>2675612.8122399999</v>
      </c>
      <c r="K173" s="7">
        <v>145.11000000000001</v>
      </c>
      <c r="L173" s="7">
        <v>19307323.419999998</v>
      </c>
      <c r="M173" s="7">
        <v>127.56999999999998</v>
      </c>
      <c r="N173" s="7">
        <v>2915768.69</v>
      </c>
      <c r="P173" s="9">
        <v>2017</v>
      </c>
      <c r="Q173">
        <v>12</v>
      </c>
      <c r="R173" s="7">
        <v>12.72</v>
      </c>
      <c r="S173" s="7">
        <v>309167.09000000003</v>
      </c>
      <c r="T173">
        <v>12.72</v>
      </c>
      <c r="U173">
        <v>309167.09000000003</v>
      </c>
      <c r="V173">
        <v>5.9534841519999997</v>
      </c>
      <c r="W173">
        <v>129508.1973</v>
      </c>
      <c r="X173">
        <v>12.08</v>
      </c>
      <c r="Y173">
        <v>4955963.71</v>
      </c>
      <c r="Z173">
        <v>12.72</v>
      </c>
      <c r="AA173">
        <v>309167.09000000003</v>
      </c>
    </row>
    <row r="174" spans="3:27" x14ac:dyDescent="0.2">
      <c r="C174">
        <v>2018</v>
      </c>
      <c r="D174">
        <v>1</v>
      </c>
      <c r="E174" s="7">
        <v>7.93</v>
      </c>
      <c r="F174" s="7">
        <v>18518.849999999999</v>
      </c>
      <c r="G174" s="7">
        <v>12.75</v>
      </c>
      <c r="H174" s="7">
        <v>72318.289999999994</v>
      </c>
      <c r="I174" s="7">
        <v>6.4218774429999996</v>
      </c>
      <c r="J174" s="7">
        <v>176565.8112</v>
      </c>
      <c r="K174" s="7">
        <v>14.86</v>
      </c>
      <c r="L174" s="7">
        <v>116573.69</v>
      </c>
      <c r="M174" s="7">
        <v>9.76</v>
      </c>
      <c r="N174" s="7">
        <v>40366.589999999997</v>
      </c>
      <c r="P174" s="10"/>
      <c r="Q174" s="10"/>
      <c r="R174" s="11"/>
      <c r="S174" s="11"/>
    </row>
    <row r="175" spans="3:27" x14ac:dyDescent="0.2">
      <c r="D175">
        <v>2</v>
      </c>
      <c r="E175" s="7">
        <v>0</v>
      </c>
      <c r="F175" s="7">
        <v>0</v>
      </c>
      <c r="G175" s="7">
        <v>6</v>
      </c>
      <c r="H175" s="7">
        <v>205340.92</v>
      </c>
      <c r="I175" s="7">
        <v>5.1422419359999996</v>
      </c>
      <c r="J175" s="7">
        <v>97878.514139999999</v>
      </c>
      <c r="K175" s="7">
        <v>12.78</v>
      </c>
      <c r="L175" s="7">
        <v>120429.57</v>
      </c>
      <c r="M175" s="7">
        <v>16.21</v>
      </c>
      <c r="N175" s="7">
        <v>82472.63</v>
      </c>
      <c r="P175" s="9">
        <v>2018</v>
      </c>
      <c r="Q175">
        <v>1</v>
      </c>
      <c r="R175" s="7">
        <v>9.76</v>
      </c>
      <c r="S175" s="7">
        <v>40366.589999999997</v>
      </c>
      <c r="T175">
        <v>9.76</v>
      </c>
      <c r="U175">
        <v>40366.589999999997</v>
      </c>
      <c r="V175">
        <v>6.4218774429999996</v>
      </c>
      <c r="W175">
        <v>176565.8112</v>
      </c>
      <c r="X175">
        <v>14.86</v>
      </c>
      <c r="Y175">
        <v>116573.69</v>
      </c>
      <c r="Z175">
        <v>9.76</v>
      </c>
      <c r="AA175">
        <v>40366.589999999997</v>
      </c>
    </row>
    <row r="176" spans="3:27" x14ac:dyDescent="0.2">
      <c r="D176">
        <v>3</v>
      </c>
      <c r="E176" s="7">
        <v>7.71</v>
      </c>
      <c r="F176" s="7">
        <v>19336.759999999998</v>
      </c>
      <c r="G176" s="7">
        <v>10.67</v>
      </c>
      <c r="H176" s="7">
        <v>76158.75</v>
      </c>
      <c r="I176" s="7">
        <v>5.8966599530000003</v>
      </c>
      <c r="J176" s="7">
        <v>104450.48639999999</v>
      </c>
      <c r="K176" s="7">
        <v>12.18</v>
      </c>
      <c r="L176" s="7">
        <v>3716147.16</v>
      </c>
      <c r="M176" s="7">
        <v>1.2</v>
      </c>
      <c r="N176" s="7">
        <v>24100.91</v>
      </c>
      <c r="P176" s="9">
        <v>2018</v>
      </c>
      <c r="Q176">
        <v>2</v>
      </c>
      <c r="R176" s="7">
        <v>16.21</v>
      </c>
      <c r="S176" s="7">
        <v>82472.63</v>
      </c>
      <c r="T176">
        <v>16.21</v>
      </c>
      <c r="U176">
        <v>82472.63</v>
      </c>
      <c r="V176">
        <v>5.1422419359999996</v>
      </c>
      <c r="W176">
        <v>97878.514139999999</v>
      </c>
      <c r="X176">
        <v>12.78</v>
      </c>
      <c r="Y176">
        <v>120429.57</v>
      </c>
      <c r="Z176">
        <v>16.21</v>
      </c>
      <c r="AA176">
        <v>82472.63</v>
      </c>
    </row>
    <row r="177" spans="3:27" x14ac:dyDescent="0.2">
      <c r="D177">
        <v>4</v>
      </c>
      <c r="E177" s="7">
        <v>0</v>
      </c>
      <c r="F177" s="7">
        <v>0</v>
      </c>
      <c r="G177" s="7">
        <v>5.77</v>
      </c>
      <c r="H177" s="7">
        <v>115925.77</v>
      </c>
      <c r="I177" s="7">
        <v>5.6768245449999997</v>
      </c>
      <c r="J177" s="7">
        <v>280189.565</v>
      </c>
      <c r="K177" s="7">
        <v>8.4600000000000009</v>
      </c>
      <c r="L177" s="7">
        <v>110061.24</v>
      </c>
      <c r="M177" s="7">
        <v>11.97</v>
      </c>
      <c r="N177" s="7">
        <v>146940.13</v>
      </c>
      <c r="P177" s="9">
        <v>2018</v>
      </c>
      <c r="Q177">
        <v>3</v>
      </c>
      <c r="R177" s="7">
        <v>1.2</v>
      </c>
      <c r="S177" s="7">
        <v>24100.91</v>
      </c>
      <c r="T177">
        <v>1.2</v>
      </c>
      <c r="U177">
        <v>24100.91</v>
      </c>
      <c r="V177">
        <v>5.8966599530000003</v>
      </c>
      <c r="W177">
        <v>104450.48639999999</v>
      </c>
      <c r="X177">
        <v>12.18</v>
      </c>
      <c r="Y177">
        <v>3716147.16</v>
      </c>
      <c r="Z177">
        <v>1.2</v>
      </c>
      <c r="AA177">
        <v>24100.91</v>
      </c>
    </row>
    <row r="178" spans="3:27" x14ac:dyDescent="0.2">
      <c r="D178">
        <v>5</v>
      </c>
      <c r="E178" s="7">
        <v>7.56</v>
      </c>
      <c r="F178" s="7">
        <v>76877.460000000006</v>
      </c>
      <c r="G178" s="7">
        <v>5.76</v>
      </c>
      <c r="H178" s="7">
        <v>314950.44</v>
      </c>
      <c r="I178" s="7">
        <v>5.9802480530000004</v>
      </c>
      <c r="J178" s="7">
        <v>37000.137459999998</v>
      </c>
      <c r="K178" s="7">
        <v>10.199999999999999</v>
      </c>
      <c r="L178" s="7">
        <v>4485019.4000000004</v>
      </c>
      <c r="M178" s="7">
        <v>5.89</v>
      </c>
      <c r="N178" s="7">
        <v>101377.25</v>
      </c>
      <c r="P178" s="9">
        <v>2018</v>
      </c>
      <c r="Q178">
        <v>4</v>
      </c>
      <c r="R178" s="7">
        <v>11.97</v>
      </c>
      <c r="S178" s="7">
        <v>146940.13</v>
      </c>
      <c r="T178">
        <v>11.97</v>
      </c>
      <c r="U178">
        <v>146940.13</v>
      </c>
      <c r="V178">
        <v>5.6768245449999997</v>
      </c>
      <c r="W178">
        <v>280189.565</v>
      </c>
      <c r="X178">
        <v>8.4600000000000009</v>
      </c>
      <c r="Y178">
        <v>110061.24</v>
      </c>
      <c r="Z178">
        <v>11.97</v>
      </c>
      <c r="AA178">
        <v>146940.13</v>
      </c>
    </row>
    <row r="179" spans="3:27" x14ac:dyDescent="0.2">
      <c r="D179">
        <v>6</v>
      </c>
      <c r="E179" s="7">
        <v>7.33</v>
      </c>
      <c r="F179" s="7">
        <v>459461.37</v>
      </c>
      <c r="G179" s="7">
        <v>6.9</v>
      </c>
      <c r="H179" s="7">
        <v>1264588</v>
      </c>
      <c r="I179" s="7">
        <v>9.1573747989999994</v>
      </c>
      <c r="J179" s="7">
        <v>23106.622220000001</v>
      </c>
      <c r="K179" s="7">
        <v>10.99</v>
      </c>
      <c r="L179" s="7">
        <v>3989645.7</v>
      </c>
      <c r="M179" s="7">
        <v>18.78</v>
      </c>
      <c r="N179" s="7">
        <v>1343678.41</v>
      </c>
      <c r="P179" s="9">
        <v>2018</v>
      </c>
      <c r="Q179">
        <v>5</v>
      </c>
      <c r="R179" s="7">
        <v>5.89</v>
      </c>
      <c r="S179" s="7">
        <v>101377.25</v>
      </c>
      <c r="T179">
        <v>5.89</v>
      </c>
      <c r="U179">
        <v>101377.25</v>
      </c>
      <c r="V179">
        <v>5.9802480530000004</v>
      </c>
      <c r="W179">
        <v>37000.137459999998</v>
      </c>
      <c r="X179">
        <v>10.199999999999999</v>
      </c>
      <c r="Y179">
        <v>4485019.4000000004</v>
      </c>
      <c r="Z179">
        <v>5.89</v>
      </c>
      <c r="AA179">
        <v>101377.25</v>
      </c>
    </row>
    <row r="180" spans="3:27" x14ac:dyDescent="0.2">
      <c r="D180">
        <v>7</v>
      </c>
      <c r="E180" s="7">
        <v>7.1</v>
      </c>
      <c r="F180" s="7">
        <v>762008.59</v>
      </c>
      <c r="G180" s="7">
        <v>7.74</v>
      </c>
      <c r="H180" s="7">
        <v>800485.9</v>
      </c>
      <c r="I180" s="7">
        <v>4.7231769699999999</v>
      </c>
      <c r="J180" s="7">
        <v>160599.95310000001</v>
      </c>
      <c r="K180" s="7">
        <v>11.8</v>
      </c>
      <c r="L180" s="7">
        <v>91264.65</v>
      </c>
      <c r="M180" s="7">
        <v>17.55</v>
      </c>
      <c r="N180" s="7">
        <v>1481650.14</v>
      </c>
      <c r="P180" s="9">
        <v>2018</v>
      </c>
      <c r="Q180">
        <v>6</v>
      </c>
      <c r="R180" s="7">
        <v>18.78</v>
      </c>
      <c r="S180" s="7">
        <v>1343678.41</v>
      </c>
      <c r="T180">
        <v>18.78</v>
      </c>
      <c r="U180">
        <v>1343678.41</v>
      </c>
      <c r="V180">
        <v>9.1573747989999994</v>
      </c>
      <c r="W180">
        <v>23106.622220000001</v>
      </c>
      <c r="X180">
        <v>10.99</v>
      </c>
      <c r="Y180">
        <v>3989645.7</v>
      </c>
      <c r="Z180">
        <v>18.78</v>
      </c>
      <c r="AA180">
        <v>1343678.41</v>
      </c>
    </row>
    <row r="181" spans="3:27" x14ac:dyDescent="0.2">
      <c r="D181">
        <v>8</v>
      </c>
      <c r="E181" s="7">
        <v>6.75</v>
      </c>
      <c r="F181" s="7">
        <v>244512.69</v>
      </c>
      <c r="G181" s="7">
        <v>7.14</v>
      </c>
      <c r="H181" s="7">
        <v>527251.36</v>
      </c>
      <c r="I181" s="7">
        <v>8.8140122190000003</v>
      </c>
      <c r="J181" s="7">
        <v>43704.386879999998</v>
      </c>
      <c r="K181" s="7">
        <v>11.34</v>
      </c>
      <c r="L181" s="7">
        <v>3734833.51</v>
      </c>
      <c r="M181" s="7">
        <v>4.66</v>
      </c>
      <c r="N181" s="7">
        <v>36594.49</v>
      </c>
      <c r="P181" s="9">
        <v>2018</v>
      </c>
      <c r="Q181">
        <v>7</v>
      </c>
      <c r="R181" s="7">
        <v>17.55</v>
      </c>
      <c r="S181" s="7">
        <v>1481650.14</v>
      </c>
      <c r="T181">
        <v>17.55</v>
      </c>
      <c r="U181">
        <v>1481650.14</v>
      </c>
      <c r="V181">
        <v>4.7231769699999999</v>
      </c>
      <c r="W181">
        <v>160599.95310000001</v>
      </c>
      <c r="X181">
        <v>11.8</v>
      </c>
      <c r="Y181">
        <v>91264.65</v>
      </c>
      <c r="Z181">
        <v>17.55</v>
      </c>
      <c r="AA181">
        <v>1481650.14</v>
      </c>
    </row>
    <row r="182" spans="3:27" x14ac:dyDescent="0.2">
      <c r="D182">
        <v>9</v>
      </c>
      <c r="E182" s="7">
        <v>7.6</v>
      </c>
      <c r="F182" s="7">
        <v>352929.5</v>
      </c>
      <c r="G182" s="7">
        <v>7.05</v>
      </c>
      <c r="H182" s="7">
        <v>693603.5</v>
      </c>
      <c r="I182" s="7">
        <v>5.4981011310000003</v>
      </c>
      <c r="J182" s="7">
        <v>357216.78320000001</v>
      </c>
      <c r="K182" s="7">
        <v>10.9</v>
      </c>
      <c r="L182" s="7">
        <v>60591.78</v>
      </c>
      <c r="M182" s="7">
        <v>3.93</v>
      </c>
      <c r="N182" s="7">
        <v>409563.28</v>
      </c>
      <c r="P182" s="9">
        <v>2018</v>
      </c>
      <c r="Q182">
        <v>8</v>
      </c>
      <c r="R182" s="7">
        <v>4.66</v>
      </c>
      <c r="S182" s="7">
        <v>36594.49</v>
      </c>
      <c r="T182">
        <v>4.66</v>
      </c>
      <c r="U182">
        <v>36594.49</v>
      </c>
      <c r="V182">
        <v>8.8140122190000003</v>
      </c>
      <c r="W182">
        <v>43704.386879999998</v>
      </c>
      <c r="X182">
        <v>11.34</v>
      </c>
      <c r="Y182">
        <v>3734833.51</v>
      </c>
      <c r="Z182">
        <v>4.66</v>
      </c>
      <c r="AA182">
        <v>36594.49</v>
      </c>
    </row>
    <row r="183" spans="3:27" x14ac:dyDescent="0.2">
      <c r="D183">
        <v>10</v>
      </c>
      <c r="E183" s="7">
        <v>7.15</v>
      </c>
      <c r="F183" s="7">
        <v>531290.23</v>
      </c>
      <c r="G183" s="7">
        <v>7.94</v>
      </c>
      <c r="H183" s="7">
        <v>692900.23</v>
      </c>
      <c r="I183" s="7">
        <v>6.2858868340000003</v>
      </c>
      <c r="J183" s="7">
        <v>227776.92920000001</v>
      </c>
      <c r="K183" s="7">
        <v>11.2</v>
      </c>
      <c r="L183" s="7">
        <v>2832603.8</v>
      </c>
      <c r="M183" s="7">
        <v>15.93</v>
      </c>
      <c r="N183" s="7">
        <v>3797876.83</v>
      </c>
      <c r="P183" s="9">
        <v>2018</v>
      </c>
      <c r="Q183">
        <v>9</v>
      </c>
      <c r="R183" s="7">
        <v>3.93</v>
      </c>
      <c r="S183" s="7">
        <v>409563.28</v>
      </c>
      <c r="T183">
        <v>3.93</v>
      </c>
      <c r="U183">
        <v>409563.28</v>
      </c>
      <c r="V183">
        <v>5.4981011310000003</v>
      </c>
      <c r="W183">
        <v>357216.78320000001</v>
      </c>
      <c r="X183">
        <v>10.9</v>
      </c>
      <c r="Y183">
        <v>60591.78</v>
      </c>
      <c r="Z183">
        <v>3.93</v>
      </c>
      <c r="AA183">
        <v>409563.28</v>
      </c>
    </row>
    <row r="184" spans="3:27" x14ac:dyDescent="0.2">
      <c r="D184">
        <v>11</v>
      </c>
      <c r="E184" s="7">
        <v>7.24</v>
      </c>
      <c r="F184" s="7">
        <v>170723.91</v>
      </c>
      <c r="G184" s="7">
        <v>6.17</v>
      </c>
      <c r="H184" s="7">
        <v>523071.39</v>
      </c>
      <c r="I184" s="7">
        <v>6.3287865329999997</v>
      </c>
      <c r="J184" s="7">
        <v>89150.423559999996</v>
      </c>
      <c r="K184" s="7">
        <v>10.84</v>
      </c>
      <c r="L184" s="7">
        <v>128293.45</v>
      </c>
      <c r="M184" s="7">
        <v>14.61</v>
      </c>
      <c r="N184" s="7">
        <v>4269755.9000000004</v>
      </c>
      <c r="P184" s="9">
        <v>2018</v>
      </c>
      <c r="Q184">
        <v>10</v>
      </c>
      <c r="R184" s="7">
        <v>15.93</v>
      </c>
      <c r="S184" s="7">
        <v>3797876.83</v>
      </c>
      <c r="T184">
        <v>15.93</v>
      </c>
      <c r="U184">
        <v>3797876.83</v>
      </c>
      <c r="V184">
        <v>6.2858868340000003</v>
      </c>
      <c r="W184">
        <v>227776.92920000001</v>
      </c>
      <c r="X184">
        <v>11.2</v>
      </c>
      <c r="Y184">
        <v>2832603.8</v>
      </c>
      <c r="Z184">
        <v>15.93</v>
      </c>
      <c r="AA184">
        <v>3797876.83</v>
      </c>
    </row>
    <row r="185" spans="3:27" x14ac:dyDescent="0.2">
      <c r="D185">
        <v>12</v>
      </c>
      <c r="E185" s="7">
        <v>7.16</v>
      </c>
      <c r="F185" s="7">
        <v>23876.080000000002</v>
      </c>
      <c r="G185" s="7">
        <v>11.98</v>
      </c>
      <c r="H185" s="7">
        <v>236351.17</v>
      </c>
      <c r="I185" s="7">
        <v>5.0741376479999998</v>
      </c>
      <c r="J185" s="7">
        <v>114600.55680000001</v>
      </c>
      <c r="K185" s="7">
        <v>10.94</v>
      </c>
      <c r="L185" s="7">
        <v>4109546.16</v>
      </c>
      <c r="M185" s="7">
        <v>4.17</v>
      </c>
      <c r="N185" s="7">
        <v>62315.79</v>
      </c>
      <c r="P185" s="9">
        <v>2018</v>
      </c>
      <c r="Q185">
        <v>11</v>
      </c>
      <c r="R185" s="7">
        <v>14.61</v>
      </c>
      <c r="S185" s="7">
        <v>4269755.9000000004</v>
      </c>
      <c r="T185">
        <v>14.61</v>
      </c>
      <c r="U185">
        <v>4269755.9000000004</v>
      </c>
      <c r="V185">
        <v>6.3287865329999997</v>
      </c>
      <c r="W185">
        <v>89150.423559999996</v>
      </c>
      <c r="X185">
        <v>10.84</v>
      </c>
      <c r="Y185">
        <v>128293.45</v>
      </c>
      <c r="Z185">
        <v>14.61</v>
      </c>
      <c r="AA185">
        <v>4269755.9000000004</v>
      </c>
    </row>
    <row r="186" spans="3:27" x14ac:dyDescent="0.2">
      <c r="C186" t="s">
        <v>101</v>
      </c>
      <c r="E186" s="7">
        <v>73.53</v>
      </c>
      <c r="F186" s="7">
        <v>2659535.44</v>
      </c>
      <c r="G186" s="7">
        <v>95.87</v>
      </c>
      <c r="H186" s="7">
        <v>5522945.7199999997</v>
      </c>
      <c r="I186" s="7">
        <v>74.999328063999997</v>
      </c>
      <c r="J186" s="7">
        <v>1712240.16916</v>
      </c>
      <c r="K186" s="7">
        <v>136.49</v>
      </c>
      <c r="L186" s="7">
        <v>23495010.109999999</v>
      </c>
      <c r="M186" s="7">
        <v>124.66</v>
      </c>
      <c r="N186" s="7">
        <v>11796692.35</v>
      </c>
      <c r="P186" s="9">
        <v>2018</v>
      </c>
      <c r="Q186">
        <v>12</v>
      </c>
      <c r="R186" s="7">
        <v>4.17</v>
      </c>
      <c r="S186" s="7">
        <v>62315.79</v>
      </c>
      <c r="T186">
        <v>4.17</v>
      </c>
      <c r="U186">
        <v>62315.79</v>
      </c>
      <c r="V186">
        <v>5.0741376479999998</v>
      </c>
      <c r="W186">
        <v>114600.55680000001</v>
      </c>
      <c r="X186">
        <v>10.94</v>
      </c>
      <c r="Y186">
        <v>4109546.16</v>
      </c>
      <c r="Z186">
        <v>4.17</v>
      </c>
      <c r="AA186">
        <v>62315.79</v>
      </c>
    </row>
    <row r="187" spans="3:27" x14ac:dyDescent="0.2">
      <c r="C187">
        <v>2019</v>
      </c>
      <c r="D187">
        <v>1</v>
      </c>
      <c r="E187" s="7">
        <v>7.23</v>
      </c>
      <c r="F187" s="7">
        <v>25785.29</v>
      </c>
      <c r="G187" s="7">
        <v>8</v>
      </c>
      <c r="H187" s="7">
        <v>179008.89</v>
      </c>
      <c r="I187" s="7">
        <v>5.4232768440000001</v>
      </c>
      <c r="J187" s="7">
        <v>86853.209520000004</v>
      </c>
      <c r="K187" s="7">
        <v>11.33</v>
      </c>
      <c r="L187" s="7">
        <v>1199752</v>
      </c>
      <c r="M187" s="7">
        <v>7.28</v>
      </c>
      <c r="N187" s="7">
        <v>201658.8</v>
      </c>
      <c r="P187" s="10"/>
      <c r="Q187" s="10"/>
      <c r="R187" s="11"/>
      <c r="S187" s="11"/>
    </row>
    <row r="188" spans="3:27" x14ac:dyDescent="0.2">
      <c r="D188">
        <v>2</v>
      </c>
      <c r="E188" s="7">
        <v>0</v>
      </c>
      <c r="F188" s="7">
        <v>0</v>
      </c>
      <c r="G188" s="7">
        <v>9.5500000000000007</v>
      </c>
      <c r="H188" s="7">
        <v>39487.03</v>
      </c>
      <c r="I188" s="7">
        <v>5.5583447030000004</v>
      </c>
      <c r="J188" s="7">
        <v>69339.708240000007</v>
      </c>
      <c r="K188" s="7">
        <v>10.08</v>
      </c>
      <c r="L188" s="7">
        <v>533548.9</v>
      </c>
      <c r="M188" s="7">
        <v>19.739999999999998</v>
      </c>
      <c r="N188" s="7">
        <v>1639831.63</v>
      </c>
      <c r="P188" s="9">
        <v>2019</v>
      </c>
      <c r="Q188">
        <v>1</v>
      </c>
      <c r="R188" s="7">
        <v>7.28</v>
      </c>
      <c r="S188" s="7">
        <v>201658.8</v>
      </c>
      <c r="T188">
        <v>7.28</v>
      </c>
      <c r="U188">
        <v>201658.8</v>
      </c>
      <c r="V188">
        <v>5.4232768440000001</v>
      </c>
      <c r="W188">
        <v>86853.209520000004</v>
      </c>
      <c r="X188">
        <v>11.33</v>
      </c>
      <c r="Y188">
        <v>1199752</v>
      </c>
      <c r="Z188">
        <v>7.28</v>
      </c>
      <c r="AA188">
        <v>201658.8</v>
      </c>
    </row>
    <row r="189" spans="3:27" x14ac:dyDescent="0.2">
      <c r="D189">
        <v>3</v>
      </c>
      <c r="E189" s="7">
        <v>9.35</v>
      </c>
      <c r="F189" s="7">
        <v>16049.67</v>
      </c>
      <c r="G189" s="7">
        <v>15.05</v>
      </c>
      <c r="H189" s="7">
        <v>72404.28</v>
      </c>
      <c r="I189" s="7">
        <v>5.9897378699999999</v>
      </c>
      <c r="J189" s="7">
        <v>69998.889620000002</v>
      </c>
      <c r="K189" s="7">
        <v>5.98</v>
      </c>
      <c r="L189" s="7">
        <v>1499.14</v>
      </c>
      <c r="M189" s="7">
        <v>17.350000000000001</v>
      </c>
      <c r="N189" s="7">
        <v>1982570.67</v>
      </c>
      <c r="P189" s="9">
        <v>2019</v>
      </c>
      <c r="Q189">
        <v>2</v>
      </c>
      <c r="R189" s="7">
        <v>19.739999999999998</v>
      </c>
      <c r="S189" s="7">
        <v>1639831.63</v>
      </c>
      <c r="T189">
        <v>19.739999999999998</v>
      </c>
      <c r="U189">
        <v>1639831.63</v>
      </c>
      <c r="V189">
        <v>5.5583447030000004</v>
      </c>
      <c r="W189">
        <v>69339.708240000007</v>
      </c>
      <c r="X189">
        <v>10.08</v>
      </c>
      <c r="Y189">
        <v>533548.9</v>
      </c>
      <c r="Z189">
        <v>19.739999999999998</v>
      </c>
      <c r="AA189">
        <v>1639831.63</v>
      </c>
    </row>
    <row r="190" spans="3:27" x14ac:dyDescent="0.2">
      <c r="D190">
        <v>4</v>
      </c>
      <c r="E190" s="7">
        <v>6.95</v>
      </c>
      <c r="F190" s="7">
        <v>20908.66</v>
      </c>
      <c r="G190" s="7">
        <v>7.9</v>
      </c>
      <c r="H190" s="7">
        <v>67675.360000000001</v>
      </c>
      <c r="I190" s="7">
        <v>4.2473085939999997</v>
      </c>
      <c r="J190" s="7">
        <v>135440.8297</v>
      </c>
      <c r="K190" s="7">
        <v>10</v>
      </c>
      <c r="L190" s="7">
        <v>484579.89</v>
      </c>
      <c r="M190" s="7">
        <v>3.85</v>
      </c>
      <c r="N190" s="7">
        <v>141080.25</v>
      </c>
      <c r="P190" s="9">
        <v>2019</v>
      </c>
      <c r="Q190">
        <v>3</v>
      </c>
      <c r="R190" s="7">
        <v>17.350000000000001</v>
      </c>
      <c r="S190" s="7">
        <v>1982570.67</v>
      </c>
      <c r="T190">
        <v>17.350000000000001</v>
      </c>
      <c r="U190">
        <v>1982570.67</v>
      </c>
      <c r="V190">
        <v>5.9897378699999999</v>
      </c>
      <c r="W190">
        <v>69998.889620000002</v>
      </c>
      <c r="X190">
        <v>5.98</v>
      </c>
      <c r="Y190">
        <v>1499.14</v>
      </c>
      <c r="Z190">
        <v>17.350000000000001</v>
      </c>
      <c r="AA190">
        <v>1982570.67</v>
      </c>
    </row>
    <row r="191" spans="3:27" x14ac:dyDescent="0.2">
      <c r="D191">
        <v>5</v>
      </c>
      <c r="E191" s="7">
        <v>0</v>
      </c>
      <c r="F191" s="7">
        <v>0</v>
      </c>
      <c r="G191" s="7">
        <v>9.23</v>
      </c>
      <c r="H191" s="7">
        <v>143997.25</v>
      </c>
      <c r="I191" s="7">
        <v>6.9167521809999997</v>
      </c>
      <c r="J191" s="7">
        <v>861609.58840000001</v>
      </c>
      <c r="K191" s="7">
        <v>8.19</v>
      </c>
      <c r="L191" s="7">
        <v>384886.97</v>
      </c>
      <c r="M191" s="7">
        <v>6.62</v>
      </c>
      <c r="N191" s="7">
        <v>171413.61</v>
      </c>
      <c r="P191" s="9">
        <v>2019</v>
      </c>
      <c r="Q191">
        <v>4</v>
      </c>
      <c r="R191" s="7">
        <v>3.85</v>
      </c>
      <c r="S191" s="7">
        <v>141080.25</v>
      </c>
      <c r="T191">
        <v>3.85</v>
      </c>
      <c r="U191">
        <v>141080.25</v>
      </c>
      <c r="V191">
        <v>4.2473085939999997</v>
      </c>
      <c r="W191">
        <v>135440.8297</v>
      </c>
      <c r="X191">
        <v>10</v>
      </c>
      <c r="Y191">
        <v>484579.89</v>
      </c>
      <c r="Z191">
        <v>3.85</v>
      </c>
      <c r="AA191">
        <v>141080.25</v>
      </c>
    </row>
    <row r="192" spans="3:27" x14ac:dyDescent="0.2">
      <c r="D192">
        <v>6</v>
      </c>
      <c r="E192" s="7">
        <v>7.13</v>
      </c>
      <c r="F192" s="7">
        <v>523212.49</v>
      </c>
      <c r="G192" s="7">
        <v>7.01</v>
      </c>
      <c r="H192" s="7">
        <v>1696663.52</v>
      </c>
      <c r="I192" s="7">
        <v>6.4988755400000002</v>
      </c>
      <c r="J192" s="7">
        <v>164072.22959999999</v>
      </c>
      <c r="K192" s="7">
        <v>10.49</v>
      </c>
      <c r="L192" s="7">
        <v>2502761.79</v>
      </c>
      <c r="M192" s="7">
        <v>18.2</v>
      </c>
      <c r="N192" s="7">
        <v>2135284.7000000002</v>
      </c>
      <c r="P192" s="9">
        <v>2019</v>
      </c>
      <c r="Q192">
        <v>5</v>
      </c>
      <c r="R192" s="7">
        <v>6.62</v>
      </c>
      <c r="S192" s="7">
        <v>171413.61</v>
      </c>
      <c r="T192">
        <v>6.62</v>
      </c>
      <c r="U192">
        <v>171413.61</v>
      </c>
      <c r="V192">
        <v>6.9167521809999997</v>
      </c>
      <c r="W192">
        <v>861609.58840000001</v>
      </c>
      <c r="X192">
        <v>8.19</v>
      </c>
      <c r="Y192">
        <v>384886.97</v>
      </c>
      <c r="Z192">
        <v>6.62</v>
      </c>
      <c r="AA192">
        <v>171413.61</v>
      </c>
    </row>
    <row r="193" spans="3:27" x14ac:dyDescent="0.2">
      <c r="D193">
        <v>7</v>
      </c>
      <c r="E193" s="7">
        <v>7.32</v>
      </c>
      <c r="F193" s="7">
        <v>512606.04</v>
      </c>
      <c r="G193" s="7">
        <v>6.1</v>
      </c>
      <c r="H193" s="7">
        <v>1408871.85</v>
      </c>
      <c r="I193" s="7">
        <v>5.7647120010000004</v>
      </c>
      <c r="J193" s="7">
        <v>35031.411800000002</v>
      </c>
      <c r="K193" s="7">
        <v>8.4600000000000009</v>
      </c>
      <c r="L193" s="7">
        <v>130460.59</v>
      </c>
      <c r="M193" s="7">
        <v>10.19</v>
      </c>
      <c r="N193" s="7">
        <v>61927.78</v>
      </c>
      <c r="P193" s="9">
        <v>2019</v>
      </c>
      <c r="Q193">
        <v>6</v>
      </c>
      <c r="R193" s="7">
        <v>18.2</v>
      </c>
      <c r="S193" s="7">
        <v>2135284.7000000002</v>
      </c>
      <c r="T193">
        <v>18.2</v>
      </c>
      <c r="U193">
        <v>2135284.7000000002</v>
      </c>
      <c r="V193">
        <v>6.4988755400000002</v>
      </c>
      <c r="W193">
        <v>164072.22959999999</v>
      </c>
      <c r="X193">
        <v>10.49</v>
      </c>
      <c r="Y193">
        <v>2502761.79</v>
      </c>
      <c r="Z193">
        <v>18.2</v>
      </c>
      <c r="AA193">
        <v>2135284.7000000002</v>
      </c>
    </row>
    <row r="194" spans="3:27" x14ac:dyDescent="0.2">
      <c r="D194">
        <v>8</v>
      </c>
      <c r="E194" s="7">
        <v>7.24</v>
      </c>
      <c r="F194" s="7">
        <v>662857.81000000006</v>
      </c>
      <c r="G194" s="7">
        <v>7.98</v>
      </c>
      <c r="H194" s="7">
        <v>780913.24</v>
      </c>
      <c r="I194" s="7">
        <v>6.2344390709999997</v>
      </c>
      <c r="J194" s="7">
        <v>177496.16080000001</v>
      </c>
      <c r="K194" s="7">
        <v>10.45</v>
      </c>
      <c r="L194" s="7">
        <v>5401129.4000000004</v>
      </c>
      <c r="M194" s="7">
        <v>17.149999999999999</v>
      </c>
      <c r="N194" s="7">
        <v>2368626.09</v>
      </c>
      <c r="P194" s="9">
        <v>2019</v>
      </c>
      <c r="Q194">
        <v>7</v>
      </c>
      <c r="R194" s="7">
        <v>10.19</v>
      </c>
      <c r="S194" s="7">
        <v>61927.78</v>
      </c>
      <c r="T194">
        <v>10.19</v>
      </c>
      <c r="U194">
        <v>61927.78</v>
      </c>
      <c r="V194">
        <v>5.7647120010000004</v>
      </c>
      <c r="W194">
        <v>35031.411800000002</v>
      </c>
      <c r="X194">
        <v>8.4600000000000009</v>
      </c>
      <c r="Y194">
        <v>130460.59</v>
      </c>
      <c r="Z194">
        <v>10.19</v>
      </c>
      <c r="AA194">
        <v>61927.78</v>
      </c>
    </row>
    <row r="195" spans="3:27" x14ac:dyDescent="0.2">
      <c r="D195">
        <v>9</v>
      </c>
      <c r="E195" s="7">
        <v>7.24</v>
      </c>
      <c r="F195" s="7">
        <v>466233.97</v>
      </c>
      <c r="G195" s="7">
        <v>7.8</v>
      </c>
      <c r="H195" s="7">
        <v>871979.66</v>
      </c>
      <c r="I195" s="7">
        <v>6.6673588160000001</v>
      </c>
      <c r="J195" s="7">
        <v>261295.97159999999</v>
      </c>
      <c r="K195" s="7">
        <v>10.92</v>
      </c>
      <c r="L195" s="7">
        <v>196552.9</v>
      </c>
      <c r="M195" s="7">
        <v>7.7</v>
      </c>
      <c r="N195" s="7">
        <v>103782.49</v>
      </c>
      <c r="P195" s="9">
        <v>2019</v>
      </c>
      <c r="Q195">
        <v>8</v>
      </c>
      <c r="R195" s="7">
        <v>17.149999999999999</v>
      </c>
      <c r="S195" s="7">
        <v>2368626.09</v>
      </c>
      <c r="T195">
        <v>17.149999999999999</v>
      </c>
      <c r="U195">
        <v>2368626.09</v>
      </c>
      <c r="V195">
        <v>6.2344390709999997</v>
      </c>
      <c r="W195">
        <v>177496.16080000001</v>
      </c>
      <c r="X195">
        <v>10.45</v>
      </c>
      <c r="Y195">
        <v>5401129.4000000004</v>
      </c>
      <c r="Z195">
        <v>17.149999999999999</v>
      </c>
      <c r="AA195">
        <v>2368626.09</v>
      </c>
    </row>
    <row r="196" spans="3:27" x14ac:dyDescent="0.2">
      <c r="D196">
        <v>10</v>
      </c>
      <c r="E196" s="7">
        <v>6.21</v>
      </c>
      <c r="F196" s="7">
        <v>156958.24</v>
      </c>
      <c r="G196" s="7">
        <v>7.31</v>
      </c>
      <c r="H196" s="7">
        <v>817869.36</v>
      </c>
      <c r="I196" s="7">
        <v>6.4784557520000003</v>
      </c>
      <c r="J196" s="7">
        <v>70391.311979999999</v>
      </c>
      <c r="K196" s="7">
        <v>11.43</v>
      </c>
      <c r="L196" s="7">
        <v>3298492.92</v>
      </c>
      <c r="M196" s="7">
        <v>18.75</v>
      </c>
      <c r="N196" s="7">
        <v>1420573.35</v>
      </c>
      <c r="P196" s="9">
        <v>2019</v>
      </c>
      <c r="Q196">
        <v>9</v>
      </c>
      <c r="R196" s="7">
        <v>7.7</v>
      </c>
      <c r="S196" s="7">
        <v>103782.49</v>
      </c>
      <c r="T196">
        <v>7.7</v>
      </c>
      <c r="U196">
        <v>103782.49</v>
      </c>
      <c r="V196">
        <v>6.6673588160000001</v>
      </c>
      <c r="W196">
        <v>261295.97159999999</v>
      </c>
      <c r="X196">
        <v>10.92</v>
      </c>
      <c r="Y196">
        <v>196552.9</v>
      </c>
      <c r="Z196">
        <v>7.7</v>
      </c>
      <c r="AA196">
        <v>103782.49</v>
      </c>
    </row>
    <row r="197" spans="3:27" x14ac:dyDescent="0.2">
      <c r="D197">
        <v>11</v>
      </c>
      <c r="E197" s="7">
        <v>7.2</v>
      </c>
      <c r="F197" s="7">
        <v>173744.25</v>
      </c>
      <c r="G197" s="7">
        <v>8.3000000000000007</v>
      </c>
      <c r="H197" s="7">
        <v>615447.36</v>
      </c>
      <c r="I197" s="7">
        <v>6.5938821230000002</v>
      </c>
      <c r="J197" s="7">
        <v>70062.823600000003</v>
      </c>
      <c r="K197" s="7">
        <v>13.24</v>
      </c>
      <c r="L197" s="7">
        <v>63457.78</v>
      </c>
      <c r="M197" s="7">
        <v>5.35</v>
      </c>
      <c r="N197" s="7">
        <v>3430.39</v>
      </c>
      <c r="P197" s="9">
        <v>2019</v>
      </c>
      <c r="Q197">
        <v>10</v>
      </c>
      <c r="R197" s="7">
        <v>18.75</v>
      </c>
      <c r="S197" s="7">
        <v>1420573.35</v>
      </c>
      <c r="T197">
        <v>18.75</v>
      </c>
      <c r="U197">
        <v>1420573.35</v>
      </c>
      <c r="V197">
        <v>6.4784557520000003</v>
      </c>
      <c r="W197">
        <v>70391.311979999999</v>
      </c>
      <c r="X197">
        <v>11.43</v>
      </c>
      <c r="Y197">
        <v>3298492.92</v>
      </c>
      <c r="Z197">
        <v>18.75</v>
      </c>
      <c r="AA197">
        <v>1420573.35</v>
      </c>
    </row>
    <row r="198" spans="3:27" x14ac:dyDescent="0.2">
      <c r="D198">
        <v>12</v>
      </c>
      <c r="E198" s="7">
        <v>5.14</v>
      </c>
      <c r="F198" s="7">
        <v>54597.52</v>
      </c>
      <c r="G198" s="7">
        <v>7.47</v>
      </c>
      <c r="H198" s="7">
        <v>276587.77</v>
      </c>
      <c r="I198" s="7">
        <v>7.824386412</v>
      </c>
      <c r="J198" s="7">
        <v>95863.491460000005</v>
      </c>
      <c r="K198" s="7">
        <v>10.52</v>
      </c>
      <c r="L198" s="7">
        <v>5439893.2400000002</v>
      </c>
      <c r="M198" s="7">
        <v>17.97</v>
      </c>
      <c r="N198" s="7">
        <v>1527786.23</v>
      </c>
      <c r="P198" s="9">
        <v>2019</v>
      </c>
      <c r="Q198">
        <v>11</v>
      </c>
      <c r="R198" s="7">
        <v>5.35</v>
      </c>
      <c r="S198" s="7">
        <v>3430.39</v>
      </c>
      <c r="T198">
        <v>5.35</v>
      </c>
      <c r="U198">
        <v>3430.39</v>
      </c>
      <c r="V198">
        <v>6.5938821230000002</v>
      </c>
      <c r="W198">
        <v>70062.823600000003</v>
      </c>
      <c r="X198">
        <v>13.24</v>
      </c>
      <c r="Y198">
        <v>63457.78</v>
      </c>
      <c r="Z198">
        <v>5.35</v>
      </c>
      <c r="AA198">
        <v>3430.39</v>
      </c>
    </row>
    <row r="199" spans="3:27" x14ac:dyDescent="0.2">
      <c r="C199" t="s">
        <v>102</v>
      </c>
      <c r="E199" s="7">
        <v>71.010000000000005</v>
      </c>
      <c r="F199" s="7">
        <v>2612953.94</v>
      </c>
      <c r="G199" s="7">
        <v>101.7</v>
      </c>
      <c r="H199" s="7">
        <v>6970905.5700000003</v>
      </c>
      <c r="I199" s="7">
        <v>74.197529906999989</v>
      </c>
      <c r="J199" s="7">
        <v>2097455.6263200003</v>
      </c>
      <c r="K199" s="7">
        <v>121.09</v>
      </c>
      <c r="L199" s="7">
        <v>19637015.52</v>
      </c>
      <c r="M199" s="7">
        <v>150.15</v>
      </c>
      <c r="N199" s="7">
        <v>11757965.990000002</v>
      </c>
      <c r="P199" s="9">
        <v>2019</v>
      </c>
      <c r="Q199">
        <v>12</v>
      </c>
      <c r="R199" s="7">
        <v>17.97</v>
      </c>
      <c r="S199" s="7">
        <v>1527786.23</v>
      </c>
      <c r="T199">
        <v>17.97</v>
      </c>
      <c r="U199">
        <v>1527786.23</v>
      </c>
      <c r="V199">
        <v>7.824386412</v>
      </c>
      <c r="W199">
        <v>95863.491460000005</v>
      </c>
      <c r="X199">
        <v>10.52</v>
      </c>
      <c r="Y199">
        <v>5439893.2400000002</v>
      </c>
      <c r="Z199">
        <v>17.97</v>
      </c>
      <c r="AA199">
        <v>1527786.23</v>
      </c>
    </row>
    <row r="200" spans="3:27" x14ac:dyDescent="0.2">
      <c r="C200">
        <v>2020</v>
      </c>
      <c r="D200">
        <v>1</v>
      </c>
      <c r="E200" s="7">
        <v>0</v>
      </c>
      <c r="F200" s="7">
        <v>0</v>
      </c>
      <c r="G200" s="7">
        <v>8.35</v>
      </c>
      <c r="H200" s="7">
        <v>102041.04</v>
      </c>
      <c r="I200" s="7">
        <v>7.0167266850000001</v>
      </c>
      <c r="J200" s="7">
        <v>33265.511180000001</v>
      </c>
      <c r="K200" s="7">
        <v>10.98</v>
      </c>
      <c r="L200" s="7">
        <v>170624.36</v>
      </c>
      <c r="M200" s="7">
        <v>6.63</v>
      </c>
      <c r="N200" s="7">
        <v>93398.73</v>
      </c>
      <c r="P200" s="10"/>
      <c r="Q200" s="10"/>
      <c r="R200" s="11"/>
      <c r="S200" s="11"/>
    </row>
    <row r="201" spans="3:27" x14ac:dyDescent="0.2">
      <c r="D201">
        <v>2</v>
      </c>
      <c r="E201" s="7">
        <v>6.6</v>
      </c>
      <c r="F201" s="7">
        <v>33739.57</v>
      </c>
      <c r="G201" s="7">
        <v>8.7899999999999991</v>
      </c>
      <c r="H201" s="7">
        <v>162729.94</v>
      </c>
      <c r="I201" s="7">
        <v>5.2272031139999999</v>
      </c>
      <c r="J201" s="7">
        <v>101610.93580000001</v>
      </c>
      <c r="K201" s="7">
        <v>10.94</v>
      </c>
      <c r="L201" s="7">
        <v>4037413.2</v>
      </c>
      <c r="M201" s="7">
        <v>17.07</v>
      </c>
      <c r="N201" s="7">
        <v>1525890.25</v>
      </c>
      <c r="P201" s="9">
        <v>2020</v>
      </c>
      <c r="Q201">
        <v>1</v>
      </c>
      <c r="R201" s="7">
        <v>6.63</v>
      </c>
      <c r="S201" s="7">
        <v>93398.73</v>
      </c>
      <c r="T201">
        <v>6.63</v>
      </c>
      <c r="U201">
        <v>93398.73</v>
      </c>
      <c r="V201">
        <v>7.0167266850000001</v>
      </c>
      <c r="W201">
        <v>33265.511180000001</v>
      </c>
      <c r="X201">
        <v>10.98</v>
      </c>
      <c r="Y201">
        <v>170624.36</v>
      </c>
      <c r="Z201">
        <v>6.63</v>
      </c>
      <c r="AA201">
        <v>93398.73</v>
      </c>
    </row>
    <row r="202" spans="3:27" x14ac:dyDescent="0.2">
      <c r="D202">
        <v>3</v>
      </c>
      <c r="E202" s="7">
        <v>0</v>
      </c>
      <c r="F202" s="7">
        <v>0</v>
      </c>
      <c r="G202" s="7">
        <v>9.14</v>
      </c>
      <c r="H202" s="7">
        <v>151506.20000000001</v>
      </c>
      <c r="I202" s="7"/>
      <c r="J202" s="7"/>
      <c r="K202" s="7">
        <v>11.89</v>
      </c>
      <c r="L202" s="7">
        <v>82651.199999999997</v>
      </c>
      <c r="M202" s="7">
        <v>8.7899999999999991</v>
      </c>
      <c r="N202" s="7">
        <v>57507.51</v>
      </c>
      <c r="P202" s="9">
        <v>2020</v>
      </c>
      <c r="Q202">
        <v>2</v>
      </c>
      <c r="R202" s="7">
        <v>17.07</v>
      </c>
      <c r="S202" s="7">
        <v>1525890.25</v>
      </c>
      <c r="T202">
        <v>17.07</v>
      </c>
      <c r="U202">
        <v>1525890.25</v>
      </c>
      <c r="V202">
        <v>5.2272031139999999</v>
      </c>
      <c r="W202">
        <v>101610.93580000001</v>
      </c>
      <c r="X202">
        <v>10.94</v>
      </c>
      <c r="Y202">
        <v>4037413.2</v>
      </c>
      <c r="Z202">
        <v>17.07</v>
      </c>
      <c r="AA202">
        <v>1525890.25</v>
      </c>
    </row>
    <row r="203" spans="3:27" x14ac:dyDescent="0.2">
      <c r="D203">
        <v>4</v>
      </c>
      <c r="E203" s="7">
        <v>0</v>
      </c>
      <c r="F203" s="7">
        <v>0</v>
      </c>
      <c r="G203" s="7">
        <v>6.45</v>
      </c>
      <c r="H203" s="7">
        <v>9279.26</v>
      </c>
      <c r="I203" s="7">
        <v>4.8008779669999999</v>
      </c>
      <c r="J203" s="7">
        <v>18177.091899999999</v>
      </c>
      <c r="K203" s="7">
        <v>12.57</v>
      </c>
      <c r="L203" s="7">
        <v>4104870.16</v>
      </c>
      <c r="M203" s="7">
        <v>16.2</v>
      </c>
      <c r="N203" s="7">
        <v>1676796.49</v>
      </c>
      <c r="P203" s="9">
        <v>2020</v>
      </c>
      <c r="Q203">
        <v>3</v>
      </c>
      <c r="R203" s="7">
        <v>8.7899999999999991</v>
      </c>
      <c r="S203" s="7">
        <v>57507.51</v>
      </c>
      <c r="T203">
        <v>8.7899999999999991</v>
      </c>
      <c r="U203">
        <v>57507.51</v>
      </c>
      <c r="X203">
        <v>11.89</v>
      </c>
      <c r="Y203">
        <v>82651.199999999997</v>
      </c>
      <c r="Z203">
        <v>8.7899999999999991</v>
      </c>
      <c r="AA203">
        <v>57507.51</v>
      </c>
    </row>
    <row r="204" spans="3:27" x14ac:dyDescent="0.2">
      <c r="D204">
        <v>5</v>
      </c>
      <c r="E204" s="7">
        <v>7.07</v>
      </c>
      <c r="F204" s="7">
        <v>83414.17</v>
      </c>
      <c r="G204" s="7">
        <v>3.84</v>
      </c>
      <c r="H204" s="7">
        <v>135487.4</v>
      </c>
      <c r="I204" s="7">
        <v>5.059562433</v>
      </c>
      <c r="J204" s="7">
        <v>381165.57030000002</v>
      </c>
      <c r="K204" s="7">
        <v>12.02</v>
      </c>
      <c r="L204" s="7">
        <v>108967.75</v>
      </c>
      <c r="M204" s="7">
        <v>6.13</v>
      </c>
      <c r="N204" s="7">
        <v>121778.8</v>
      </c>
      <c r="P204" s="9">
        <v>2020</v>
      </c>
      <c r="Q204">
        <v>4</v>
      </c>
      <c r="R204" s="7">
        <v>16.2</v>
      </c>
      <c r="S204" s="7">
        <v>1676796.49</v>
      </c>
      <c r="T204">
        <v>16.2</v>
      </c>
      <c r="U204">
        <v>1676796.49</v>
      </c>
      <c r="V204">
        <v>4.8008779669999999</v>
      </c>
      <c r="W204">
        <v>18177.091899999999</v>
      </c>
      <c r="X204">
        <v>12.57</v>
      </c>
      <c r="Y204">
        <v>4104870.16</v>
      </c>
      <c r="Z204">
        <v>16.2</v>
      </c>
      <c r="AA204">
        <v>1676796.49</v>
      </c>
    </row>
    <row r="205" spans="3:27" x14ac:dyDescent="0.2">
      <c r="D205">
        <v>6</v>
      </c>
      <c r="E205" s="7">
        <v>5.77</v>
      </c>
      <c r="F205" s="7">
        <v>459234.29</v>
      </c>
      <c r="G205" s="7">
        <v>5.44</v>
      </c>
      <c r="H205" s="7">
        <v>1659231.2</v>
      </c>
      <c r="I205" s="7">
        <v>5.3588298559999998</v>
      </c>
      <c r="J205" s="7">
        <v>312985.49219999998</v>
      </c>
      <c r="K205" s="7">
        <v>11.95</v>
      </c>
      <c r="L205" s="7">
        <v>2628533.15</v>
      </c>
      <c r="M205" s="7">
        <v>16.16</v>
      </c>
      <c r="N205" s="7">
        <v>1266307.27</v>
      </c>
      <c r="P205" s="9">
        <v>2020</v>
      </c>
      <c r="Q205">
        <v>5</v>
      </c>
      <c r="R205" s="7">
        <v>6.13</v>
      </c>
      <c r="S205" s="7">
        <v>121778.8</v>
      </c>
      <c r="T205">
        <v>6.13</v>
      </c>
      <c r="U205">
        <v>121778.8</v>
      </c>
      <c r="V205">
        <v>5.059562433</v>
      </c>
      <c r="W205">
        <v>381165.57030000002</v>
      </c>
      <c r="X205">
        <v>12.02</v>
      </c>
      <c r="Y205">
        <v>108967.75</v>
      </c>
      <c r="Z205">
        <v>6.13</v>
      </c>
      <c r="AA205">
        <v>121778.8</v>
      </c>
    </row>
    <row r="206" spans="3:27" x14ac:dyDescent="0.2">
      <c r="D206">
        <v>7</v>
      </c>
      <c r="E206" s="7">
        <v>5.73</v>
      </c>
      <c r="F206" s="7">
        <v>491840.69</v>
      </c>
      <c r="G206" s="7">
        <v>5.36</v>
      </c>
      <c r="H206" s="7">
        <v>1276878.78</v>
      </c>
      <c r="I206" s="7">
        <v>5.1356323430000002</v>
      </c>
      <c r="J206" s="7">
        <v>332331.03269999998</v>
      </c>
      <c r="K206" s="7">
        <v>12.23</v>
      </c>
      <c r="L206" s="7">
        <v>64961.33</v>
      </c>
      <c r="M206" s="7">
        <v>7.36</v>
      </c>
      <c r="N206" s="7">
        <v>35359.9</v>
      </c>
      <c r="P206" s="9">
        <v>2020</v>
      </c>
      <c r="Q206">
        <v>6</v>
      </c>
      <c r="R206" s="7">
        <v>16.16</v>
      </c>
      <c r="S206" s="7">
        <v>1266307.27</v>
      </c>
      <c r="T206">
        <v>16.16</v>
      </c>
      <c r="U206">
        <v>1266307.27</v>
      </c>
      <c r="V206">
        <v>5.3588298559999998</v>
      </c>
      <c r="W206">
        <v>312985.49219999998</v>
      </c>
      <c r="X206">
        <v>11.95</v>
      </c>
      <c r="Y206">
        <v>2628533.15</v>
      </c>
      <c r="Z206">
        <v>16.16</v>
      </c>
      <c r="AA206">
        <v>1266307.27</v>
      </c>
    </row>
    <row r="207" spans="3:27" x14ac:dyDescent="0.2">
      <c r="D207">
        <v>8</v>
      </c>
      <c r="E207" s="7">
        <v>6.65</v>
      </c>
      <c r="F207" s="7">
        <v>179202.9</v>
      </c>
      <c r="G207" s="7">
        <v>5.21</v>
      </c>
      <c r="H207" s="7">
        <v>688382.95</v>
      </c>
      <c r="I207" s="7">
        <v>4.9431333159999999</v>
      </c>
      <c r="J207" s="7">
        <v>37983.397980000002</v>
      </c>
      <c r="K207" s="7">
        <v>13.58</v>
      </c>
      <c r="L207" s="7">
        <v>2770003.62</v>
      </c>
      <c r="M207" s="7">
        <v>15.08</v>
      </c>
      <c r="N207" s="7">
        <v>1423445.97</v>
      </c>
      <c r="P207" s="9">
        <v>2020</v>
      </c>
      <c r="Q207">
        <v>7</v>
      </c>
      <c r="R207" s="7">
        <v>7.36</v>
      </c>
      <c r="S207" s="7">
        <v>35359.9</v>
      </c>
      <c r="T207">
        <v>7.36</v>
      </c>
      <c r="U207">
        <v>35359.9</v>
      </c>
      <c r="V207">
        <v>5.1356323430000002</v>
      </c>
      <c r="W207">
        <v>332331.03269999998</v>
      </c>
      <c r="X207">
        <v>12.23</v>
      </c>
      <c r="Y207">
        <v>64961.33</v>
      </c>
      <c r="Z207">
        <v>7.36</v>
      </c>
      <c r="AA207">
        <v>35359.9</v>
      </c>
    </row>
    <row r="208" spans="3:27" x14ac:dyDescent="0.2">
      <c r="D208">
        <v>9</v>
      </c>
      <c r="E208" s="7">
        <v>6.79</v>
      </c>
      <c r="F208" s="7">
        <v>389213.21</v>
      </c>
      <c r="G208" s="7">
        <v>6.54</v>
      </c>
      <c r="H208" s="7">
        <v>1126882.75</v>
      </c>
      <c r="I208" s="7">
        <v>5.1185433280000003</v>
      </c>
      <c r="J208" s="7">
        <v>114701.9694</v>
      </c>
      <c r="K208" s="7">
        <v>10.84</v>
      </c>
      <c r="L208" s="7">
        <v>106919.66</v>
      </c>
      <c r="M208" s="7">
        <v>4.57</v>
      </c>
      <c r="N208" s="7">
        <v>164971.71</v>
      </c>
      <c r="P208" s="9">
        <v>2020</v>
      </c>
      <c r="Q208">
        <v>8</v>
      </c>
      <c r="R208" s="7">
        <v>15.08</v>
      </c>
      <c r="S208" s="7">
        <v>1423445.97</v>
      </c>
      <c r="T208">
        <v>15.08</v>
      </c>
      <c r="U208">
        <v>1423445.97</v>
      </c>
      <c r="V208">
        <v>4.9431333159999999</v>
      </c>
      <c r="W208">
        <v>37983.397980000002</v>
      </c>
      <c r="X208">
        <v>13.58</v>
      </c>
      <c r="Y208">
        <v>2770003.62</v>
      </c>
      <c r="Z208">
        <v>15.08</v>
      </c>
      <c r="AA208">
        <v>1423445.97</v>
      </c>
    </row>
    <row r="209" spans="3:27" x14ac:dyDescent="0.2">
      <c r="D209">
        <v>10</v>
      </c>
      <c r="E209" s="7">
        <v>6.18</v>
      </c>
      <c r="F209" s="7">
        <v>665986.17000000004</v>
      </c>
      <c r="G209" s="7">
        <v>9.52</v>
      </c>
      <c r="H209" s="7">
        <v>678664.97</v>
      </c>
      <c r="I209" s="7">
        <v>5.2164198170000002</v>
      </c>
      <c r="J209" s="7">
        <v>34530.963060000002</v>
      </c>
      <c r="K209" s="7">
        <v>13.72</v>
      </c>
      <c r="L209" s="7">
        <v>1580908.75</v>
      </c>
      <c r="M209" s="7">
        <v>16.260000000000002</v>
      </c>
      <c r="N209" s="7">
        <v>1492860.64</v>
      </c>
      <c r="P209" s="9">
        <v>2020</v>
      </c>
      <c r="Q209">
        <v>9</v>
      </c>
      <c r="R209" s="7">
        <v>4.57</v>
      </c>
      <c r="S209" s="7">
        <v>164971.71</v>
      </c>
      <c r="T209">
        <v>4.57</v>
      </c>
      <c r="U209">
        <v>164971.71</v>
      </c>
      <c r="V209">
        <v>5.1185433280000003</v>
      </c>
      <c r="W209">
        <v>114701.9694</v>
      </c>
      <c r="X209">
        <v>10.84</v>
      </c>
      <c r="Y209">
        <v>106919.66</v>
      </c>
      <c r="Z209">
        <v>4.57</v>
      </c>
      <c r="AA209">
        <v>164971.71</v>
      </c>
    </row>
    <row r="210" spans="3:27" x14ac:dyDescent="0.2">
      <c r="D210">
        <v>11</v>
      </c>
      <c r="E210" s="7">
        <v>6.01</v>
      </c>
      <c r="F210" s="7">
        <v>384625.39</v>
      </c>
      <c r="G210" s="7">
        <v>8.2899999999999991</v>
      </c>
      <c r="H210" s="7">
        <v>328998.31</v>
      </c>
      <c r="I210" s="7">
        <v>4.938958575</v>
      </c>
      <c r="J210" s="7">
        <v>194864.15719999999</v>
      </c>
      <c r="K210" s="7">
        <v>3.88</v>
      </c>
      <c r="L210" s="7">
        <v>121778.8</v>
      </c>
      <c r="M210" s="7">
        <v>3.6</v>
      </c>
      <c r="N210" s="7">
        <v>118024.33</v>
      </c>
      <c r="P210" s="9">
        <v>2020</v>
      </c>
      <c r="Q210">
        <v>10</v>
      </c>
      <c r="R210" s="7">
        <v>16.260000000000002</v>
      </c>
      <c r="S210" s="7">
        <v>1492860.64</v>
      </c>
      <c r="T210">
        <v>16.260000000000002</v>
      </c>
      <c r="U210">
        <v>1492860.64</v>
      </c>
      <c r="V210">
        <v>5.2164198170000002</v>
      </c>
      <c r="W210">
        <v>34530.963060000002</v>
      </c>
      <c r="X210">
        <v>13.72</v>
      </c>
      <c r="Y210">
        <v>1580908.75</v>
      </c>
      <c r="Z210">
        <v>16.260000000000002</v>
      </c>
      <c r="AA210">
        <v>1492860.64</v>
      </c>
    </row>
    <row r="211" spans="3:27" x14ac:dyDescent="0.2">
      <c r="D211">
        <v>12</v>
      </c>
      <c r="E211" s="7">
        <v>6.3</v>
      </c>
      <c r="F211" s="7">
        <v>65342.86</v>
      </c>
      <c r="G211" s="7">
        <v>7.33</v>
      </c>
      <c r="H211" s="7">
        <v>107825.98</v>
      </c>
      <c r="I211" s="7">
        <v>3.556647951</v>
      </c>
      <c r="J211" s="7">
        <v>60891.604399999997</v>
      </c>
      <c r="K211" s="7">
        <v>12.2</v>
      </c>
      <c r="L211" s="7">
        <v>415343.79</v>
      </c>
      <c r="M211" s="7">
        <v>14.33</v>
      </c>
      <c r="N211" s="7">
        <v>1775856.68</v>
      </c>
      <c r="P211" s="9">
        <v>2020</v>
      </c>
      <c r="Q211">
        <v>11</v>
      </c>
      <c r="R211" s="7">
        <v>3.6</v>
      </c>
      <c r="S211" s="7">
        <v>118024.33</v>
      </c>
      <c r="T211">
        <v>3.6</v>
      </c>
      <c r="U211">
        <v>118024.33</v>
      </c>
      <c r="V211">
        <v>4.938958575</v>
      </c>
      <c r="W211">
        <v>194864.15719999999</v>
      </c>
      <c r="X211">
        <v>3.88</v>
      </c>
      <c r="Y211">
        <v>121778.8</v>
      </c>
      <c r="Z211">
        <v>3.6</v>
      </c>
      <c r="AA211">
        <v>118024.33</v>
      </c>
    </row>
    <row r="212" spans="3:27" x14ac:dyDescent="0.2">
      <c r="C212" t="s">
        <v>103</v>
      </c>
      <c r="E212" s="7">
        <v>57.099999999999994</v>
      </c>
      <c r="F212" s="7">
        <v>2752599.25</v>
      </c>
      <c r="G212" s="7">
        <v>84.26</v>
      </c>
      <c r="H212" s="7">
        <v>6427908.7800000003</v>
      </c>
      <c r="I212" s="7">
        <v>56.372535385000006</v>
      </c>
      <c r="J212" s="7">
        <v>1622507.72612</v>
      </c>
      <c r="K212" s="7">
        <v>136.80000000000001</v>
      </c>
      <c r="L212" s="7">
        <v>16192975.770000003</v>
      </c>
      <c r="M212" s="7">
        <v>132.18</v>
      </c>
      <c r="N212" s="7">
        <v>9752198.2799999993</v>
      </c>
      <c r="P212" s="9">
        <v>2020</v>
      </c>
      <c r="Q212">
        <v>12</v>
      </c>
      <c r="R212" s="7">
        <v>14.33</v>
      </c>
      <c r="S212" s="7">
        <v>1775856.68</v>
      </c>
      <c r="T212">
        <v>14.33</v>
      </c>
      <c r="U212">
        <v>1775856.68</v>
      </c>
      <c r="V212">
        <v>3.556647951</v>
      </c>
      <c r="W212">
        <v>60891.604399999997</v>
      </c>
      <c r="X212">
        <v>12.2</v>
      </c>
      <c r="Y212">
        <v>415343.79</v>
      </c>
      <c r="Z212">
        <v>14.33</v>
      </c>
      <c r="AA212">
        <v>1775856.68</v>
      </c>
    </row>
    <row r="213" spans="3:27" x14ac:dyDescent="0.2">
      <c r="C213">
        <v>2021</v>
      </c>
      <c r="D213">
        <v>1</v>
      </c>
      <c r="E213" s="7">
        <v>6.28</v>
      </c>
      <c r="F213" s="7">
        <v>31446.76</v>
      </c>
      <c r="G213" s="7">
        <v>8</v>
      </c>
      <c r="H213" s="7">
        <v>88658.97</v>
      </c>
      <c r="I213" s="7">
        <v>5.6929548580000002</v>
      </c>
      <c r="J213" s="7">
        <v>34630.170960000003</v>
      </c>
      <c r="K213" s="7">
        <v>11.17</v>
      </c>
      <c r="L213" s="7">
        <v>271465.88</v>
      </c>
      <c r="M213" s="7">
        <v>7.57</v>
      </c>
      <c r="N213" s="7">
        <v>72606.960000000006</v>
      </c>
      <c r="P213" s="10"/>
      <c r="Q213" s="10"/>
      <c r="R213" s="11"/>
      <c r="S213" s="11"/>
    </row>
    <row r="214" spans="3:27" x14ac:dyDescent="0.2">
      <c r="D214">
        <v>2</v>
      </c>
      <c r="E214" s="7">
        <v>6.45</v>
      </c>
      <c r="F214" s="7">
        <v>14810.67</v>
      </c>
      <c r="G214" s="7">
        <v>14.11</v>
      </c>
      <c r="H214" s="7">
        <v>19475.650000000001</v>
      </c>
      <c r="I214" s="7"/>
      <c r="J214" s="7"/>
      <c r="K214" s="7">
        <v>12.63</v>
      </c>
      <c r="L214" s="7">
        <v>342207.73</v>
      </c>
      <c r="M214" s="7">
        <v>16.16</v>
      </c>
      <c r="N214" s="7">
        <v>571133.27</v>
      </c>
      <c r="P214" s="9">
        <v>2021</v>
      </c>
      <c r="Q214">
        <v>1</v>
      </c>
      <c r="R214" s="7">
        <v>7.57</v>
      </c>
      <c r="S214" s="7">
        <v>72606.960000000006</v>
      </c>
      <c r="T214">
        <v>7.57</v>
      </c>
      <c r="U214">
        <v>72606.960000000006</v>
      </c>
      <c r="V214">
        <v>5.6929548580000002</v>
      </c>
      <c r="W214">
        <v>34630.170960000003</v>
      </c>
      <c r="X214">
        <v>11.17</v>
      </c>
      <c r="Y214">
        <v>271465.88</v>
      </c>
      <c r="Z214">
        <v>7.57</v>
      </c>
      <c r="AA214">
        <v>72606.960000000006</v>
      </c>
    </row>
    <row r="215" spans="3:27" x14ac:dyDescent="0.2">
      <c r="D215">
        <v>3</v>
      </c>
      <c r="E215" s="7">
        <v>0</v>
      </c>
      <c r="F215" s="7">
        <v>0</v>
      </c>
      <c r="G215" s="7">
        <v>5.5</v>
      </c>
      <c r="H215" s="7">
        <v>203575.02</v>
      </c>
      <c r="I215" s="7">
        <v>5.6468740720000001</v>
      </c>
      <c r="J215" s="7">
        <v>69061.926120000004</v>
      </c>
      <c r="K215" s="7">
        <v>11.65</v>
      </c>
      <c r="L215" s="7">
        <v>2236959.5699999998</v>
      </c>
      <c r="M215" s="7">
        <v>14.31</v>
      </c>
      <c r="N215" s="7">
        <v>698009.15</v>
      </c>
      <c r="P215" s="9">
        <v>2021</v>
      </c>
      <c r="Q215">
        <v>2</v>
      </c>
      <c r="R215" s="7">
        <v>16.16</v>
      </c>
      <c r="S215" s="7">
        <v>571133.27</v>
      </c>
      <c r="T215">
        <v>16.16</v>
      </c>
      <c r="U215">
        <v>571133.27</v>
      </c>
      <c r="X215">
        <v>12.63</v>
      </c>
      <c r="Y215">
        <v>342207.73</v>
      </c>
      <c r="Z215">
        <v>16.16</v>
      </c>
      <c r="AA215">
        <v>571133.27</v>
      </c>
    </row>
    <row r="216" spans="3:27" x14ac:dyDescent="0.2">
      <c r="D216">
        <v>4</v>
      </c>
      <c r="E216" s="7">
        <v>0</v>
      </c>
      <c r="F216" s="7">
        <v>0</v>
      </c>
      <c r="G216" s="7">
        <v>6.95</v>
      </c>
      <c r="H216" s="7">
        <v>49061.71</v>
      </c>
      <c r="I216" s="7"/>
      <c r="J216" s="7"/>
      <c r="K216" s="7">
        <v>9.2899999999999991</v>
      </c>
      <c r="L216" s="7">
        <v>19610.09</v>
      </c>
      <c r="M216" s="7">
        <v>3.87</v>
      </c>
      <c r="N216" s="7">
        <v>54268.93</v>
      </c>
      <c r="P216" s="9">
        <v>2021</v>
      </c>
      <c r="Q216">
        <v>3</v>
      </c>
      <c r="R216" s="7">
        <v>14.31</v>
      </c>
      <c r="S216" s="7">
        <v>698009.15</v>
      </c>
      <c r="T216">
        <v>14.31</v>
      </c>
      <c r="U216">
        <v>698009.15</v>
      </c>
      <c r="V216">
        <v>5.6468740720000001</v>
      </c>
      <c r="W216">
        <v>69061.926120000004</v>
      </c>
      <c r="X216">
        <v>11.65</v>
      </c>
      <c r="Y216">
        <v>2236959.5699999998</v>
      </c>
      <c r="Z216">
        <v>14.31</v>
      </c>
      <c r="AA216">
        <v>698009.15</v>
      </c>
    </row>
    <row r="217" spans="3:27" x14ac:dyDescent="0.2">
      <c r="D217">
        <v>5</v>
      </c>
      <c r="E217" s="7">
        <v>8.64</v>
      </c>
      <c r="F217" s="7">
        <v>197152.95</v>
      </c>
      <c r="G217" s="7">
        <v>7.7</v>
      </c>
      <c r="H217" s="7">
        <v>300441.81</v>
      </c>
      <c r="I217" s="7">
        <v>6.0047537369999997</v>
      </c>
      <c r="J217" s="7">
        <v>36012.467700000001</v>
      </c>
      <c r="K217" s="7">
        <v>8.6199999999999992</v>
      </c>
      <c r="L217" s="7">
        <v>85742.080000000002</v>
      </c>
      <c r="M217" s="7">
        <v>23.45</v>
      </c>
      <c r="N217" s="7">
        <v>20593.36</v>
      </c>
      <c r="P217" s="9">
        <v>2021</v>
      </c>
      <c r="Q217">
        <v>4</v>
      </c>
      <c r="R217" s="7">
        <v>3.87</v>
      </c>
      <c r="S217" s="7">
        <v>54268.93</v>
      </c>
      <c r="T217">
        <v>3.87</v>
      </c>
      <c r="U217">
        <v>54268.93</v>
      </c>
      <c r="X217">
        <v>9.2899999999999991</v>
      </c>
      <c r="Y217">
        <v>19610.09</v>
      </c>
      <c r="Z217">
        <v>3.87</v>
      </c>
      <c r="AA217">
        <v>54268.93</v>
      </c>
    </row>
    <row r="218" spans="3:27" x14ac:dyDescent="0.2">
      <c r="D218">
        <v>6</v>
      </c>
      <c r="E218" s="7">
        <v>8.94</v>
      </c>
      <c r="F218" s="7">
        <v>1315896.22</v>
      </c>
      <c r="G218" s="7">
        <v>9.57</v>
      </c>
      <c r="H218" s="7">
        <v>2252846.17</v>
      </c>
      <c r="I218" s="7">
        <v>8.4876209550000006</v>
      </c>
      <c r="J218" s="7">
        <v>487545.09909999999</v>
      </c>
      <c r="K218" s="7">
        <v>11.89</v>
      </c>
      <c r="L218" s="7">
        <v>6567688.6399999997</v>
      </c>
      <c r="M218" s="7">
        <v>15.59</v>
      </c>
      <c r="N218" s="7">
        <v>300577.89</v>
      </c>
      <c r="P218" s="9">
        <v>2021</v>
      </c>
      <c r="Q218">
        <v>5</v>
      </c>
      <c r="R218" s="7">
        <v>23.45</v>
      </c>
      <c r="S218" s="7">
        <v>20593.36</v>
      </c>
      <c r="T218">
        <v>23.45</v>
      </c>
      <c r="U218">
        <v>20593.36</v>
      </c>
      <c r="V218">
        <v>6.0047537369999997</v>
      </c>
      <c r="W218">
        <v>36012.467700000001</v>
      </c>
      <c r="X218">
        <v>8.6199999999999992</v>
      </c>
      <c r="Y218">
        <v>85742.080000000002</v>
      </c>
      <c r="Z218">
        <v>23.45</v>
      </c>
      <c r="AA218">
        <v>20593.36</v>
      </c>
    </row>
    <row r="219" spans="3:27" x14ac:dyDescent="0.2">
      <c r="D219">
        <v>7</v>
      </c>
      <c r="E219" s="7">
        <v>8.68</v>
      </c>
      <c r="F219" s="7">
        <v>578354.56000000006</v>
      </c>
      <c r="G219" s="7">
        <v>8.66</v>
      </c>
      <c r="H219" s="7">
        <v>2594465.9500000002</v>
      </c>
      <c r="I219" s="7">
        <v>8.9721927049999994</v>
      </c>
      <c r="J219" s="7">
        <v>177022.16750000001</v>
      </c>
      <c r="K219" s="7">
        <v>12.38</v>
      </c>
      <c r="L219" s="7">
        <v>3250555.66</v>
      </c>
      <c r="M219" s="7">
        <v>15.43</v>
      </c>
      <c r="N219" s="7">
        <v>337198.83</v>
      </c>
      <c r="P219" s="9">
        <v>2021</v>
      </c>
      <c r="Q219">
        <v>6</v>
      </c>
      <c r="R219" s="7">
        <v>15.59</v>
      </c>
      <c r="S219" s="7">
        <v>300577.89</v>
      </c>
      <c r="T219">
        <v>15.59</v>
      </c>
      <c r="U219">
        <v>300577.89</v>
      </c>
      <c r="V219">
        <v>8.4876209550000006</v>
      </c>
      <c r="W219">
        <v>487545.09909999999</v>
      </c>
      <c r="X219">
        <v>11.89</v>
      </c>
      <c r="Y219">
        <v>6567688.6399999997</v>
      </c>
      <c r="Z219">
        <v>15.59</v>
      </c>
      <c r="AA219">
        <v>300577.89</v>
      </c>
    </row>
    <row r="220" spans="3:27" x14ac:dyDescent="0.2">
      <c r="D220">
        <v>8</v>
      </c>
      <c r="E220" s="7">
        <v>8.01</v>
      </c>
      <c r="F220" s="7">
        <v>157293.34</v>
      </c>
      <c r="G220" s="7">
        <v>8.58</v>
      </c>
      <c r="H220" s="7">
        <v>697353.57</v>
      </c>
      <c r="I220" s="7">
        <v>7.1598437700000002</v>
      </c>
      <c r="J220" s="7">
        <v>165910.88269999999</v>
      </c>
      <c r="K220" s="7">
        <v>6.25</v>
      </c>
      <c r="L220" s="7">
        <v>60027.39</v>
      </c>
      <c r="M220" s="7">
        <v>2.08</v>
      </c>
      <c r="N220" s="7">
        <v>16027.59</v>
      </c>
      <c r="P220" s="9">
        <v>2021</v>
      </c>
      <c r="Q220">
        <v>7</v>
      </c>
      <c r="R220" s="7">
        <v>15.43</v>
      </c>
      <c r="S220" s="7">
        <v>337198.83</v>
      </c>
      <c r="T220">
        <v>15.43</v>
      </c>
      <c r="U220">
        <v>337198.83</v>
      </c>
      <c r="V220">
        <v>8.9721927049999994</v>
      </c>
      <c r="W220">
        <v>177022.16750000001</v>
      </c>
      <c r="X220">
        <v>12.38</v>
      </c>
      <c r="Y220">
        <v>3250555.66</v>
      </c>
      <c r="Z220">
        <v>15.43</v>
      </c>
      <c r="AA220">
        <v>337198.83</v>
      </c>
    </row>
    <row r="221" spans="3:27" x14ac:dyDescent="0.2">
      <c r="D221">
        <v>9</v>
      </c>
      <c r="E221" s="7">
        <v>9.77</v>
      </c>
      <c r="F221" s="7">
        <v>347757.46</v>
      </c>
      <c r="G221" s="7">
        <v>10.220000000000001</v>
      </c>
      <c r="H221" s="7">
        <v>719133.05</v>
      </c>
      <c r="I221" s="7">
        <v>9.5494915220000003</v>
      </c>
      <c r="J221" s="7">
        <v>35273.919999999998</v>
      </c>
      <c r="K221" s="7">
        <v>10.67</v>
      </c>
      <c r="L221" s="7">
        <v>109364.58</v>
      </c>
      <c r="M221" s="7">
        <v>7.44</v>
      </c>
      <c r="N221" s="7">
        <v>15998.93</v>
      </c>
      <c r="P221" s="9">
        <v>2021</v>
      </c>
      <c r="Q221">
        <v>8</v>
      </c>
      <c r="R221" s="7">
        <v>2.08</v>
      </c>
      <c r="S221" s="7">
        <v>16027.59</v>
      </c>
      <c r="T221">
        <v>2.08</v>
      </c>
      <c r="U221">
        <v>16027.59</v>
      </c>
      <c r="V221">
        <v>7.1598437700000002</v>
      </c>
      <c r="W221">
        <v>165910.88269999999</v>
      </c>
      <c r="X221">
        <v>6.25</v>
      </c>
      <c r="Y221">
        <v>60027.39</v>
      </c>
      <c r="Z221">
        <v>2.08</v>
      </c>
      <c r="AA221">
        <v>16027.59</v>
      </c>
    </row>
    <row r="222" spans="3:27" x14ac:dyDescent="0.2">
      <c r="D222">
        <v>10</v>
      </c>
      <c r="E222" s="7">
        <v>8.52</v>
      </c>
      <c r="F222" s="7">
        <v>525238.54</v>
      </c>
      <c r="G222" s="7">
        <v>11.65</v>
      </c>
      <c r="H222" s="7">
        <v>1114730.8600000001</v>
      </c>
      <c r="I222" s="7">
        <v>7.6477833669999997</v>
      </c>
      <c r="J222" s="7">
        <v>148950.74110000001</v>
      </c>
      <c r="K222" s="7">
        <v>13.61</v>
      </c>
      <c r="L222" s="7">
        <v>3583477.53</v>
      </c>
      <c r="M222" s="7">
        <v>17.510000000000002</v>
      </c>
      <c r="N222" s="7">
        <v>288761.13</v>
      </c>
      <c r="P222" s="9">
        <v>2021</v>
      </c>
      <c r="Q222">
        <v>9</v>
      </c>
      <c r="R222" s="7">
        <v>7.44</v>
      </c>
      <c r="S222" s="7">
        <v>15998.93</v>
      </c>
      <c r="T222">
        <v>7.44</v>
      </c>
      <c r="U222">
        <v>15998.93</v>
      </c>
      <c r="V222">
        <v>9.5494915220000003</v>
      </c>
      <c r="W222">
        <v>35273.919999999998</v>
      </c>
      <c r="X222">
        <v>10.67</v>
      </c>
      <c r="Y222">
        <v>109364.58</v>
      </c>
      <c r="Z222">
        <v>7.44</v>
      </c>
      <c r="AA222">
        <v>15998.93</v>
      </c>
    </row>
    <row r="223" spans="3:27" x14ac:dyDescent="0.2">
      <c r="D223">
        <v>11</v>
      </c>
      <c r="E223" s="7">
        <v>8.0299999999999994</v>
      </c>
      <c r="F223" s="7">
        <v>340521.88</v>
      </c>
      <c r="G223" s="7">
        <v>12.01</v>
      </c>
      <c r="H223" s="7">
        <v>638035.93999999994</v>
      </c>
      <c r="I223" s="7">
        <v>9.9533704850000007</v>
      </c>
      <c r="J223" s="7">
        <v>60957.743000000002</v>
      </c>
      <c r="K223" s="7">
        <v>14.29</v>
      </c>
      <c r="L223" s="7">
        <v>4681856.7</v>
      </c>
      <c r="M223" s="7">
        <v>16.920000000000002</v>
      </c>
      <c r="N223" s="7">
        <v>306953.65000000002</v>
      </c>
      <c r="P223" s="9">
        <v>2021</v>
      </c>
      <c r="Q223">
        <v>10</v>
      </c>
      <c r="R223" s="7">
        <v>17.510000000000002</v>
      </c>
      <c r="S223" s="7">
        <v>288761.13</v>
      </c>
      <c r="T223">
        <v>17.510000000000002</v>
      </c>
      <c r="U223">
        <v>288761.13</v>
      </c>
      <c r="V223">
        <v>7.6477833669999997</v>
      </c>
      <c r="W223">
        <v>148950.74110000001</v>
      </c>
      <c r="X223">
        <v>13.61</v>
      </c>
      <c r="Y223">
        <v>3583477.53</v>
      </c>
      <c r="Z223">
        <v>17.510000000000002</v>
      </c>
      <c r="AA223">
        <v>288761.13</v>
      </c>
    </row>
    <row r="224" spans="3:27" x14ac:dyDescent="0.2">
      <c r="D224">
        <v>12</v>
      </c>
      <c r="E224" s="7">
        <v>8.51</v>
      </c>
      <c r="F224" s="7">
        <v>44154.22</v>
      </c>
      <c r="G224" s="7">
        <v>14.57</v>
      </c>
      <c r="H224" s="7">
        <v>206328.59</v>
      </c>
      <c r="I224" s="7">
        <v>10.05497134</v>
      </c>
      <c r="J224" s="7">
        <v>37035.411379999998</v>
      </c>
      <c r="K224" s="7">
        <v>10.61</v>
      </c>
      <c r="L224" s="7">
        <v>101099.46</v>
      </c>
      <c r="M224" s="7">
        <v>8.41</v>
      </c>
      <c r="N224" s="7">
        <v>2193.6</v>
      </c>
      <c r="P224" s="9">
        <v>2021</v>
      </c>
      <c r="Q224">
        <v>11</v>
      </c>
      <c r="R224" s="7">
        <v>16.920000000000002</v>
      </c>
      <c r="S224" s="7">
        <v>306953.65000000002</v>
      </c>
      <c r="T224">
        <v>16.920000000000002</v>
      </c>
      <c r="U224">
        <v>306953.65000000002</v>
      </c>
      <c r="V224">
        <v>9.9533704850000007</v>
      </c>
      <c r="W224">
        <v>60957.743000000002</v>
      </c>
      <c r="X224">
        <v>14.29</v>
      </c>
      <c r="Y224">
        <v>4681856.7</v>
      </c>
      <c r="Z224">
        <v>16.920000000000002</v>
      </c>
      <c r="AA224">
        <v>306953.65000000002</v>
      </c>
    </row>
    <row r="225" spans="3:27" x14ac:dyDescent="0.2">
      <c r="C225" t="s">
        <v>104</v>
      </c>
      <c r="E225" s="7">
        <v>81.83</v>
      </c>
      <c r="F225" s="7">
        <v>3552626.6</v>
      </c>
      <c r="G225" s="7">
        <v>117.52000000000001</v>
      </c>
      <c r="H225" s="7">
        <v>8884107.290000001</v>
      </c>
      <c r="I225" s="7">
        <v>79.169856811000002</v>
      </c>
      <c r="J225" s="7">
        <v>1252400.5295599999</v>
      </c>
      <c r="K225" s="7">
        <v>133.06</v>
      </c>
      <c r="L225" s="7">
        <v>21310055.309999999</v>
      </c>
      <c r="M225" s="7">
        <v>148.73999999999998</v>
      </c>
      <c r="N225" s="7">
        <v>2684323.29</v>
      </c>
      <c r="P225" s="9">
        <v>2021</v>
      </c>
      <c r="Q225">
        <v>12</v>
      </c>
      <c r="R225" s="7">
        <v>8.41</v>
      </c>
      <c r="S225" s="7">
        <v>2193.6</v>
      </c>
      <c r="T225">
        <v>8.41</v>
      </c>
      <c r="U225">
        <v>2193.6</v>
      </c>
      <c r="V225">
        <v>10.05497134</v>
      </c>
      <c r="W225">
        <v>37035.411379999998</v>
      </c>
      <c r="X225">
        <v>10.61</v>
      </c>
      <c r="Y225">
        <v>101099.46</v>
      </c>
      <c r="Z225">
        <v>8.41</v>
      </c>
      <c r="AA225">
        <v>2193.6</v>
      </c>
    </row>
    <row r="226" spans="3:27" x14ac:dyDescent="0.2">
      <c r="C226">
        <v>2022</v>
      </c>
      <c r="D226">
        <v>1</v>
      </c>
      <c r="E226" s="7">
        <v>10.82</v>
      </c>
      <c r="F226" s="7">
        <v>151041.01999999999</v>
      </c>
      <c r="G226" s="7">
        <v>8.1</v>
      </c>
      <c r="H226" s="7">
        <v>284656.7</v>
      </c>
      <c r="I226" s="7">
        <v>27.779129390000001</v>
      </c>
      <c r="J226" s="7">
        <v>436.51476000000002</v>
      </c>
      <c r="K226" s="7">
        <v>12.33</v>
      </c>
      <c r="L226" s="7">
        <v>147158.39000000001</v>
      </c>
      <c r="M226" s="7">
        <v>14.6</v>
      </c>
      <c r="N226" s="7">
        <v>3231.97</v>
      </c>
      <c r="P226" s="10"/>
      <c r="Q226" s="10"/>
      <c r="R226" s="11"/>
      <c r="S226" s="11"/>
    </row>
    <row r="227" spans="3:27" x14ac:dyDescent="0.2">
      <c r="D227">
        <v>2</v>
      </c>
      <c r="E227" s="7">
        <v>0</v>
      </c>
      <c r="F227" s="7">
        <v>0</v>
      </c>
      <c r="G227" s="7">
        <v>18.2</v>
      </c>
      <c r="H227" s="7">
        <v>412491.84</v>
      </c>
      <c r="I227" s="7">
        <v>25.764531420000001</v>
      </c>
      <c r="J227" s="7">
        <v>1761.4913799999999</v>
      </c>
      <c r="K227" s="7">
        <v>15.85</v>
      </c>
      <c r="L227" s="7">
        <v>4812458.38</v>
      </c>
      <c r="M227" s="7">
        <v>16.43</v>
      </c>
      <c r="N227" s="7">
        <v>174497.88</v>
      </c>
      <c r="P227" s="9">
        <v>2022</v>
      </c>
      <c r="Q227">
        <v>1</v>
      </c>
      <c r="R227" s="7">
        <v>14.6</v>
      </c>
      <c r="S227" s="7">
        <v>3231.97</v>
      </c>
      <c r="T227">
        <v>14.6</v>
      </c>
      <c r="U227">
        <v>3231.97</v>
      </c>
      <c r="V227">
        <v>27.779129390000001</v>
      </c>
      <c r="W227">
        <v>436.51476000000002</v>
      </c>
      <c r="X227">
        <v>12.33</v>
      </c>
      <c r="Y227">
        <v>147158.39000000001</v>
      </c>
      <c r="Z227">
        <v>14.6</v>
      </c>
      <c r="AA227">
        <v>3231.97</v>
      </c>
    </row>
    <row r="228" spans="3:27" x14ac:dyDescent="0.2">
      <c r="D228">
        <v>3</v>
      </c>
      <c r="E228" s="7">
        <v>11.5</v>
      </c>
      <c r="F228" s="7">
        <v>31724.55</v>
      </c>
      <c r="G228" s="7">
        <v>20.61</v>
      </c>
      <c r="H228" s="7">
        <v>63526.25</v>
      </c>
      <c r="I228" s="7"/>
      <c r="J228" s="7"/>
      <c r="K228" s="7">
        <v>15.17</v>
      </c>
      <c r="L228" s="7">
        <v>3143397.9</v>
      </c>
      <c r="M228" s="7">
        <v>12.64</v>
      </c>
      <c r="N228" s="7">
        <v>250905.60000000001</v>
      </c>
      <c r="P228" s="9">
        <v>2022</v>
      </c>
      <c r="Q228">
        <v>2</v>
      </c>
      <c r="R228" s="7">
        <v>16.43</v>
      </c>
      <c r="S228" s="7">
        <v>174497.88</v>
      </c>
      <c r="T228">
        <v>16.43</v>
      </c>
      <c r="U228">
        <v>174497.88</v>
      </c>
      <c r="V228">
        <v>25.764531420000001</v>
      </c>
      <c r="W228">
        <v>1761.4913799999999</v>
      </c>
      <c r="X228">
        <v>15.85</v>
      </c>
      <c r="Y228">
        <v>4812458.38</v>
      </c>
      <c r="Z228">
        <v>16.43</v>
      </c>
      <c r="AA228">
        <v>174497.88</v>
      </c>
    </row>
    <row r="229" spans="3:27" x14ac:dyDescent="0.2">
      <c r="D229">
        <v>4</v>
      </c>
      <c r="E229" s="7">
        <v>9.5399999999999991</v>
      </c>
      <c r="F229" s="7">
        <v>24954.14</v>
      </c>
      <c r="G229" s="7">
        <v>16.18</v>
      </c>
      <c r="H229" s="7">
        <v>72190.429999999993</v>
      </c>
      <c r="I229" s="7"/>
      <c r="J229" s="7"/>
      <c r="K229" s="7">
        <v>13.39</v>
      </c>
      <c r="L229" s="7">
        <v>106514.01</v>
      </c>
      <c r="M229" s="7">
        <v>3.51</v>
      </c>
      <c r="N229" s="7">
        <v>73175.75</v>
      </c>
      <c r="P229" s="9">
        <v>2022</v>
      </c>
      <c r="Q229">
        <v>3</v>
      </c>
      <c r="R229" s="7">
        <v>12.64</v>
      </c>
      <c r="S229" s="7">
        <v>250905.60000000001</v>
      </c>
      <c r="T229">
        <v>12.64</v>
      </c>
      <c r="U229">
        <v>250905.60000000001</v>
      </c>
      <c r="X229">
        <v>15.17</v>
      </c>
      <c r="Y229">
        <v>3143397.9</v>
      </c>
      <c r="Z229">
        <v>12.64</v>
      </c>
      <c r="AA229">
        <v>250905.60000000001</v>
      </c>
    </row>
    <row r="230" spans="3:27" x14ac:dyDescent="0.2">
      <c r="D230">
        <v>5</v>
      </c>
      <c r="E230" s="7">
        <v>9.4600000000000009</v>
      </c>
      <c r="F230" s="7">
        <v>104280.94</v>
      </c>
      <c r="G230" s="7">
        <v>9.99</v>
      </c>
      <c r="H230" s="7">
        <v>732228.52</v>
      </c>
      <c r="I230" s="7">
        <v>8.5948291700000006</v>
      </c>
      <c r="J230" s="7">
        <v>35031.411800000002</v>
      </c>
      <c r="K230" s="7">
        <v>13.5</v>
      </c>
      <c r="L230" s="7">
        <v>89838.27</v>
      </c>
      <c r="M230" s="7">
        <v>4.9800000000000004</v>
      </c>
      <c r="N230" s="7">
        <v>148163.69</v>
      </c>
      <c r="P230" s="9">
        <v>2022</v>
      </c>
      <c r="Q230">
        <v>4</v>
      </c>
      <c r="R230" s="7">
        <v>3.51</v>
      </c>
      <c r="S230" s="7">
        <v>73175.75</v>
      </c>
      <c r="T230">
        <v>3.51</v>
      </c>
      <c r="U230">
        <v>73175.75</v>
      </c>
      <c r="X230">
        <v>13.39</v>
      </c>
      <c r="Y230">
        <v>106514.01</v>
      </c>
      <c r="Z230">
        <v>3.51</v>
      </c>
      <c r="AA230">
        <v>73175.75</v>
      </c>
    </row>
    <row r="231" spans="3:27" x14ac:dyDescent="0.2">
      <c r="D231">
        <v>6</v>
      </c>
      <c r="E231" s="7">
        <v>9.58</v>
      </c>
      <c r="F231" s="7">
        <v>1563085.33</v>
      </c>
      <c r="G231" s="7">
        <v>8.93</v>
      </c>
      <c r="H231" s="7">
        <v>2911087.5</v>
      </c>
      <c r="I231" s="7">
        <v>8.1974896220000009</v>
      </c>
      <c r="J231" s="7">
        <v>101562.4342</v>
      </c>
      <c r="K231" s="7">
        <v>14.87</v>
      </c>
      <c r="L231" s="7">
        <v>3981056.5</v>
      </c>
      <c r="M231" s="7">
        <v>17.34</v>
      </c>
      <c r="N231" s="7">
        <v>1501917.22</v>
      </c>
      <c r="P231" s="9">
        <v>2022</v>
      </c>
      <c r="Q231">
        <v>5</v>
      </c>
      <c r="R231" s="7">
        <v>4.9800000000000004</v>
      </c>
      <c r="S231" s="7">
        <v>148163.69</v>
      </c>
      <c r="T231">
        <v>4.9800000000000004</v>
      </c>
      <c r="U231">
        <v>148163.69</v>
      </c>
      <c r="V231">
        <v>8.5948291700000006</v>
      </c>
      <c r="W231">
        <v>35031.411800000002</v>
      </c>
      <c r="X231">
        <v>13.5</v>
      </c>
      <c r="Y231">
        <v>89838.27</v>
      </c>
      <c r="Z231">
        <v>4.9800000000000004</v>
      </c>
      <c r="AA231">
        <v>148163.69</v>
      </c>
    </row>
    <row r="232" spans="3:27" x14ac:dyDescent="0.2">
      <c r="D232">
        <v>7</v>
      </c>
      <c r="E232" s="7">
        <v>9.7100000000000009</v>
      </c>
      <c r="F232" s="7">
        <v>1427877.92</v>
      </c>
      <c r="G232" s="7">
        <v>9.6300000000000008</v>
      </c>
      <c r="H232" s="7">
        <v>2716705.76</v>
      </c>
      <c r="I232" s="7">
        <v>8.8901111929999992</v>
      </c>
      <c r="J232" s="7">
        <v>331147.15169999999</v>
      </c>
      <c r="K232" s="7">
        <v>13.28</v>
      </c>
      <c r="L232" s="7">
        <v>2245136.5099999998</v>
      </c>
      <c r="M232" s="7">
        <v>16.2</v>
      </c>
      <c r="N232" s="7">
        <v>1654304.96</v>
      </c>
      <c r="P232" s="9">
        <v>2022</v>
      </c>
      <c r="Q232">
        <v>6</v>
      </c>
      <c r="R232" s="7">
        <v>17.34</v>
      </c>
      <c r="S232" s="7">
        <v>1501917.22</v>
      </c>
      <c r="T232">
        <v>17.34</v>
      </c>
      <c r="U232">
        <v>1501917.22</v>
      </c>
      <c r="V232">
        <v>8.1974896220000009</v>
      </c>
      <c r="W232">
        <v>101562.4342</v>
      </c>
      <c r="X232">
        <v>14.87</v>
      </c>
      <c r="Y232">
        <v>3981056.5</v>
      </c>
      <c r="Z232">
        <v>17.34</v>
      </c>
      <c r="AA232">
        <v>1501917.22</v>
      </c>
    </row>
    <row r="233" spans="3:27" x14ac:dyDescent="0.2">
      <c r="D233">
        <v>8</v>
      </c>
      <c r="E233" s="7">
        <v>9.15</v>
      </c>
      <c r="F233" s="7">
        <v>809302.19</v>
      </c>
      <c r="G233" s="7">
        <v>11.02</v>
      </c>
      <c r="H233" s="7">
        <v>1306844.04</v>
      </c>
      <c r="I233" s="7">
        <v>8.9466480760000007</v>
      </c>
      <c r="J233" s="7">
        <v>339149.92229999998</v>
      </c>
      <c r="K233" s="7">
        <v>6.33</v>
      </c>
      <c r="L233" s="7">
        <v>32670.26</v>
      </c>
      <c r="M233" s="7">
        <v>3.88</v>
      </c>
      <c r="N233" s="7">
        <v>4224.05</v>
      </c>
      <c r="P233" s="9">
        <v>2022</v>
      </c>
      <c r="Q233">
        <v>7</v>
      </c>
      <c r="R233" s="7">
        <v>16.2</v>
      </c>
      <c r="S233" s="7">
        <v>1654304.96</v>
      </c>
      <c r="T233">
        <v>16.2</v>
      </c>
      <c r="U233">
        <v>1654304.96</v>
      </c>
      <c r="V233">
        <v>8.8901111929999992</v>
      </c>
      <c r="W233">
        <v>331147.15169999999</v>
      </c>
      <c r="X233">
        <v>13.28</v>
      </c>
      <c r="Y233">
        <v>2245136.5099999998</v>
      </c>
      <c r="Z233">
        <v>16.2</v>
      </c>
      <c r="AA233">
        <v>1654304.96</v>
      </c>
    </row>
    <row r="234" spans="3:27" x14ac:dyDescent="0.2">
      <c r="D234">
        <v>9</v>
      </c>
      <c r="E234" s="7">
        <v>9.24</v>
      </c>
      <c r="F234" s="7">
        <v>526294.56000000006</v>
      </c>
      <c r="G234" s="7">
        <v>9.74</v>
      </c>
      <c r="H234" s="7">
        <v>1284403.1599999999</v>
      </c>
      <c r="I234" s="7">
        <v>8.0964480870000006</v>
      </c>
      <c r="J234" s="7">
        <v>212035.9424</v>
      </c>
      <c r="K234" s="7">
        <v>14.28</v>
      </c>
      <c r="L234" s="7">
        <v>533240.26</v>
      </c>
      <c r="M234" s="7">
        <v>3.46</v>
      </c>
      <c r="N234" s="7">
        <v>198949.32</v>
      </c>
      <c r="P234" s="9">
        <v>2022</v>
      </c>
      <c r="Q234">
        <v>8</v>
      </c>
      <c r="R234" s="7">
        <v>3.88</v>
      </c>
      <c r="S234" s="7">
        <v>4224.05</v>
      </c>
      <c r="T234">
        <v>3.88</v>
      </c>
      <c r="U234">
        <v>4224.05</v>
      </c>
      <c r="V234">
        <v>8.9466480760000007</v>
      </c>
      <c r="W234">
        <v>339149.92229999998</v>
      </c>
      <c r="X234">
        <v>6.33</v>
      </c>
      <c r="Y234">
        <v>32670.26</v>
      </c>
      <c r="Z234">
        <v>3.88</v>
      </c>
      <c r="AA234">
        <v>4224.05</v>
      </c>
    </row>
    <row r="235" spans="3:27" x14ac:dyDescent="0.2">
      <c r="D235">
        <v>10</v>
      </c>
      <c r="E235" s="7">
        <v>8.06</v>
      </c>
      <c r="F235" s="7">
        <v>423395.92</v>
      </c>
      <c r="G235" s="7">
        <v>9.51</v>
      </c>
      <c r="H235" s="7">
        <v>564875.48</v>
      </c>
      <c r="I235" s="7">
        <v>8.1425861519999998</v>
      </c>
      <c r="J235" s="7">
        <v>214432.36429999999</v>
      </c>
      <c r="K235" s="7">
        <v>14.95</v>
      </c>
      <c r="L235" s="7">
        <v>366513.67</v>
      </c>
      <c r="M235" s="7">
        <v>16.63</v>
      </c>
      <c r="N235" s="7">
        <v>2796838.25</v>
      </c>
      <c r="P235" s="9">
        <v>2022</v>
      </c>
      <c r="Q235">
        <v>9</v>
      </c>
      <c r="R235" s="7">
        <v>3.46</v>
      </c>
      <c r="S235" s="7">
        <v>198949.32</v>
      </c>
      <c r="T235">
        <v>3.46</v>
      </c>
      <c r="U235">
        <v>198949.32</v>
      </c>
      <c r="V235">
        <v>8.0964480870000006</v>
      </c>
      <c r="W235">
        <v>212035.9424</v>
      </c>
      <c r="X235">
        <v>14.28</v>
      </c>
      <c r="Y235">
        <v>533240.26</v>
      </c>
      <c r="Z235">
        <v>3.46</v>
      </c>
      <c r="AA235">
        <v>198949.32</v>
      </c>
    </row>
    <row r="236" spans="3:27" x14ac:dyDescent="0.2">
      <c r="D236">
        <v>11</v>
      </c>
      <c r="E236" s="7">
        <v>10.01</v>
      </c>
      <c r="F236" s="7">
        <v>389330.06</v>
      </c>
      <c r="G236" s="7">
        <v>6.93</v>
      </c>
      <c r="H236" s="7">
        <v>307752.34000000003</v>
      </c>
      <c r="I236" s="7">
        <v>8.4940656800000003</v>
      </c>
      <c r="J236" s="7">
        <v>247190.81289999999</v>
      </c>
      <c r="K236" s="7">
        <v>12.99</v>
      </c>
      <c r="L236" s="7">
        <v>342265.05</v>
      </c>
      <c r="M236" s="7">
        <v>15.72</v>
      </c>
      <c r="N236" s="7">
        <v>3004588.41</v>
      </c>
      <c r="P236" s="9">
        <v>2022</v>
      </c>
      <c r="Q236">
        <v>10</v>
      </c>
      <c r="R236" s="7">
        <v>16.63</v>
      </c>
      <c r="S236" s="7">
        <v>2796838.25</v>
      </c>
      <c r="T236">
        <v>16.63</v>
      </c>
      <c r="U236">
        <v>2796838.25</v>
      </c>
      <c r="V236">
        <v>8.1425861519999998</v>
      </c>
      <c r="W236">
        <v>214432.36429999999</v>
      </c>
      <c r="X236">
        <v>14.95</v>
      </c>
      <c r="Y236">
        <v>366513.67</v>
      </c>
      <c r="Z236">
        <v>16.63</v>
      </c>
      <c r="AA236">
        <v>2796838.25</v>
      </c>
    </row>
    <row r="237" spans="3:27" x14ac:dyDescent="0.2">
      <c r="D237">
        <v>12</v>
      </c>
      <c r="E237" s="7">
        <v>7.6</v>
      </c>
      <c r="F237" s="7">
        <v>47372.97</v>
      </c>
      <c r="G237" s="7">
        <v>9.27</v>
      </c>
      <c r="H237" s="7">
        <v>136783.72</v>
      </c>
      <c r="I237" s="7">
        <v>6.3936618159999998</v>
      </c>
      <c r="J237" s="7">
        <v>70062.823600000003</v>
      </c>
      <c r="K237" s="7">
        <v>10.029999999999999</v>
      </c>
      <c r="L237" s="7">
        <v>620507.93999999994</v>
      </c>
      <c r="M237" s="7">
        <v>2</v>
      </c>
      <c r="N237" s="7">
        <v>8800.84</v>
      </c>
      <c r="P237" s="9">
        <v>2022</v>
      </c>
      <c r="Q237">
        <v>11</v>
      </c>
      <c r="R237" s="7">
        <v>15.72</v>
      </c>
      <c r="S237" s="7">
        <v>3004588.41</v>
      </c>
      <c r="T237">
        <v>15.72</v>
      </c>
      <c r="U237">
        <v>3004588.41</v>
      </c>
      <c r="V237">
        <v>8.4940656800000003</v>
      </c>
      <c r="W237">
        <v>247190.81289999999</v>
      </c>
      <c r="X237">
        <v>12.99</v>
      </c>
      <c r="Y237">
        <v>342265.05</v>
      </c>
      <c r="Z237">
        <v>15.72</v>
      </c>
      <c r="AA237">
        <v>3004588.41</v>
      </c>
    </row>
    <row r="238" spans="3:27" x14ac:dyDescent="0.2">
      <c r="C238" t="s">
        <v>105</v>
      </c>
      <c r="E238" s="7">
        <v>104.67</v>
      </c>
      <c r="F238" s="7">
        <v>5498659.5999999996</v>
      </c>
      <c r="G238" s="7">
        <v>138.10999999999999</v>
      </c>
      <c r="H238" s="7">
        <v>10793545.74</v>
      </c>
      <c r="I238" s="7">
        <v>119.29950060600002</v>
      </c>
      <c r="J238" s="7">
        <v>1552810.86934</v>
      </c>
      <c r="K238" s="7">
        <v>156.97000000000003</v>
      </c>
      <c r="L238" s="7">
        <v>16420757.139999999</v>
      </c>
      <c r="M238" s="7">
        <v>127.38999999999999</v>
      </c>
      <c r="N238" s="7">
        <v>9819597.9399999995</v>
      </c>
      <c r="P238" s="9">
        <v>2022</v>
      </c>
      <c r="Q238">
        <v>12</v>
      </c>
      <c r="R238" s="7">
        <v>2</v>
      </c>
      <c r="S238" s="7">
        <v>8800.84</v>
      </c>
      <c r="T238">
        <v>2</v>
      </c>
      <c r="U238">
        <v>8800.84</v>
      </c>
      <c r="V238">
        <v>6.3936618159999998</v>
      </c>
      <c r="W238">
        <v>70062.823600000003</v>
      </c>
      <c r="X238">
        <v>10.029999999999999</v>
      </c>
      <c r="Y238">
        <v>620507.93999999994</v>
      </c>
      <c r="Z238">
        <v>2</v>
      </c>
      <c r="AA238">
        <v>8800.84</v>
      </c>
    </row>
    <row r="239" spans="3:27" x14ac:dyDescent="0.2">
      <c r="C239">
        <v>2023</v>
      </c>
      <c r="D239">
        <v>1</v>
      </c>
      <c r="E239" s="7">
        <v>8.56</v>
      </c>
      <c r="F239" s="7">
        <v>105949.84</v>
      </c>
      <c r="G239" s="7">
        <v>8.67</v>
      </c>
      <c r="H239" s="7">
        <v>178658.35</v>
      </c>
      <c r="I239" s="7">
        <v>26.206259020000001</v>
      </c>
      <c r="J239" s="7">
        <v>1752.6729</v>
      </c>
      <c r="K239" s="7">
        <v>8.1999999999999993</v>
      </c>
      <c r="L239" s="7">
        <v>1796.77</v>
      </c>
      <c r="M239" s="7">
        <v>3.22</v>
      </c>
      <c r="N239" s="7">
        <v>230323.27</v>
      </c>
      <c r="P239" s="10"/>
      <c r="Q239" s="10"/>
      <c r="R239" s="11"/>
      <c r="S239" s="11"/>
    </row>
    <row r="240" spans="3:27" x14ac:dyDescent="0.2">
      <c r="D240">
        <v>2</v>
      </c>
      <c r="E240" s="7">
        <v>4.32</v>
      </c>
      <c r="F240" s="7">
        <v>79487.73</v>
      </c>
      <c r="G240" s="7">
        <v>9.4700000000000006</v>
      </c>
      <c r="H240" s="7">
        <v>297445.71999999997</v>
      </c>
      <c r="I240" s="7">
        <v>6.5069685310000001</v>
      </c>
      <c r="J240" s="7">
        <v>102190.7509</v>
      </c>
      <c r="K240" s="7">
        <v>11.82</v>
      </c>
      <c r="L240" s="7">
        <v>8050110.4100000001</v>
      </c>
      <c r="M240" s="7">
        <v>15.9</v>
      </c>
      <c r="N240" s="7">
        <v>1835242.53</v>
      </c>
      <c r="P240" s="9">
        <v>2023</v>
      </c>
      <c r="Q240">
        <v>1</v>
      </c>
      <c r="R240" s="7">
        <v>3.22</v>
      </c>
      <c r="S240" s="7">
        <v>230323.27</v>
      </c>
      <c r="T240">
        <v>3.22</v>
      </c>
      <c r="U240">
        <v>230323.27</v>
      </c>
      <c r="V240">
        <v>26.206259020000001</v>
      </c>
      <c r="W240">
        <v>1752.6729</v>
      </c>
      <c r="X240">
        <v>8.1999999999999993</v>
      </c>
      <c r="Y240">
        <v>1796.77</v>
      </c>
      <c r="Z240">
        <v>3.22</v>
      </c>
      <c r="AA240">
        <v>230323.27</v>
      </c>
    </row>
    <row r="241" spans="3:27" x14ac:dyDescent="0.2">
      <c r="D241">
        <v>3</v>
      </c>
      <c r="E241" s="7">
        <v>0</v>
      </c>
      <c r="F241" s="7">
        <v>0</v>
      </c>
      <c r="G241" s="7">
        <v>17.399999999999999</v>
      </c>
      <c r="H241" s="7">
        <v>92014.41</v>
      </c>
      <c r="I241" s="7">
        <v>21.108257139999999</v>
      </c>
      <c r="J241" s="7">
        <v>24927.638340000001</v>
      </c>
      <c r="K241" s="7">
        <v>11.33</v>
      </c>
      <c r="L241" s="7">
        <v>327553.62</v>
      </c>
      <c r="M241" s="7">
        <v>14.48</v>
      </c>
      <c r="N241" s="7">
        <v>2065565.8</v>
      </c>
      <c r="P241" s="9">
        <v>2023</v>
      </c>
      <c r="Q241">
        <v>2</v>
      </c>
      <c r="R241" s="7">
        <v>15.9</v>
      </c>
      <c r="S241" s="7">
        <v>1835242.53</v>
      </c>
      <c r="T241">
        <v>15.9</v>
      </c>
      <c r="U241">
        <v>1835242.53</v>
      </c>
      <c r="V241">
        <v>6.5069685310000001</v>
      </c>
      <c r="W241">
        <v>102190.7509</v>
      </c>
      <c r="X241">
        <v>11.82</v>
      </c>
      <c r="Y241">
        <v>8050110.4100000001</v>
      </c>
      <c r="Z241">
        <v>15.9</v>
      </c>
      <c r="AA241">
        <v>1835242.53</v>
      </c>
    </row>
    <row r="242" spans="3:27" x14ac:dyDescent="0.2">
      <c r="D242">
        <v>4</v>
      </c>
      <c r="E242" s="7">
        <v>0</v>
      </c>
      <c r="F242" s="7">
        <v>0</v>
      </c>
      <c r="G242" s="7">
        <v>3.79</v>
      </c>
      <c r="H242" s="7">
        <v>34969.75</v>
      </c>
      <c r="I242" s="7">
        <v>7.1998653340000001</v>
      </c>
      <c r="J242" s="7">
        <v>36601.101240000004</v>
      </c>
      <c r="K242" s="7">
        <v>14.11</v>
      </c>
      <c r="L242" s="7">
        <v>2553697.33</v>
      </c>
      <c r="M242" s="7">
        <v>2.1800000000000002</v>
      </c>
      <c r="N242" s="7">
        <v>353376.34</v>
      </c>
      <c r="P242" s="9">
        <v>2023</v>
      </c>
      <c r="Q242">
        <v>3</v>
      </c>
      <c r="R242" s="7">
        <v>14.48</v>
      </c>
      <c r="S242" s="7">
        <v>2065565.8</v>
      </c>
      <c r="T242">
        <v>14.48</v>
      </c>
      <c r="U242">
        <v>2065565.8</v>
      </c>
      <c r="V242">
        <v>21.108257139999999</v>
      </c>
      <c r="W242">
        <v>24927.638340000001</v>
      </c>
      <c r="X242">
        <v>11.33</v>
      </c>
      <c r="Y242">
        <v>327553.62</v>
      </c>
      <c r="Z242">
        <v>14.48</v>
      </c>
      <c r="AA242">
        <v>2065565.8</v>
      </c>
    </row>
    <row r="243" spans="3:27" x14ac:dyDescent="0.2">
      <c r="D243">
        <v>5</v>
      </c>
      <c r="E243" s="7">
        <v>9.27</v>
      </c>
      <c r="F243" s="7">
        <v>87871.92</v>
      </c>
      <c r="G243" s="7">
        <v>7.28</v>
      </c>
      <c r="H243" s="7">
        <v>202406.57</v>
      </c>
      <c r="I243" s="7">
        <v>6.924521006</v>
      </c>
      <c r="J243" s="7">
        <v>35273.919999999998</v>
      </c>
      <c r="K243" s="7">
        <v>13.56</v>
      </c>
      <c r="L243" s="7">
        <v>36241.75</v>
      </c>
      <c r="M243" s="7">
        <v>16.43</v>
      </c>
      <c r="N243" s="7">
        <v>2138349.12</v>
      </c>
      <c r="P243" s="9">
        <v>2023</v>
      </c>
      <c r="Q243">
        <v>4</v>
      </c>
      <c r="R243" s="7">
        <v>2.1800000000000002</v>
      </c>
      <c r="S243" s="7">
        <v>353376.34</v>
      </c>
      <c r="T243">
        <v>2.1800000000000002</v>
      </c>
      <c r="U243">
        <v>353376.34</v>
      </c>
      <c r="V243">
        <v>7.1998653340000001</v>
      </c>
      <c r="W243">
        <v>36601.101240000004</v>
      </c>
      <c r="X243">
        <v>14.11</v>
      </c>
      <c r="Y243">
        <v>2553697.33</v>
      </c>
      <c r="Z243">
        <v>2.1800000000000002</v>
      </c>
      <c r="AA243">
        <v>353376.34</v>
      </c>
    </row>
    <row r="244" spans="3:27" x14ac:dyDescent="0.2">
      <c r="D244">
        <v>6</v>
      </c>
      <c r="E244" s="7">
        <v>8.9499999999999993</v>
      </c>
      <c r="F244" s="7">
        <v>715614.47</v>
      </c>
      <c r="G244" s="7">
        <v>8.2799999999999994</v>
      </c>
      <c r="H244" s="7">
        <v>1094011.8</v>
      </c>
      <c r="I244" s="7">
        <v>7.7605310760000004</v>
      </c>
      <c r="J244" s="7">
        <v>711038.45160000003</v>
      </c>
      <c r="K244" s="7">
        <v>14.89</v>
      </c>
      <c r="L244" s="7">
        <v>3744326.61</v>
      </c>
      <c r="M244" s="7">
        <v>14.41</v>
      </c>
      <c r="N244" s="7">
        <v>2491725.46</v>
      </c>
      <c r="P244" s="9">
        <v>2023</v>
      </c>
      <c r="Q244">
        <v>5</v>
      </c>
      <c r="R244" s="7">
        <v>16.43</v>
      </c>
      <c r="S244" s="7">
        <v>2138349.12</v>
      </c>
      <c r="T244">
        <v>16.43</v>
      </c>
      <c r="U244">
        <v>2138349.12</v>
      </c>
      <c r="V244">
        <v>6.924521006</v>
      </c>
      <c r="W244">
        <v>35273.919999999998</v>
      </c>
      <c r="X244">
        <v>13.56</v>
      </c>
      <c r="Y244">
        <v>36241.75</v>
      </c>
      <c r="Z244">
        <v>16.43</v>
      </c>
      <c r="AA244">
        <v>2138349.12</v>
      </c>
    </row>
    <row r="245" spans="3:27" x14ac:dyDescent="0.2">
      <c r="D245">
        <v>7</v>
      </c>
      <c r="E245" s="7">
        <v>10.66</v>
      </c>
      <c r="F245" s="7">
        <v>589406.34</v>
      </c>
      <c r="G245" s="7">
        <v>8.24</v>
      </c>
      <c r="H245" s="7">
        <v>939992.33</v>
      </c>
      <c r="I245" s="7">
        <v>6.7960757579999997</v>
      </c>
      <c r="J245" s="7">
        <v>269766.12170000002</v>
      </c>
      <c r="K245" s="7">
        <v>14.9</v>
      </c>
      <c r="L245" s="7">
        <v>139054.20000000001</v>
      </c>
      <c r="M245" s="7">
        <v>2.95</v>
      </c>
      <c r="N245" s="7">
        <v>257274.74</v>
      </c>
      <c r="P245" s="9">
        <v>2023</v>
      </c>
      <c r="Q245">
        <v>6</v>
      </c>
      <c r="R245" s="7">
        <v>14.41</v>
      </c>
      <c r="S245" s="7">
        <v>2491725.46</v>
      </c>
      <c r="T245">
        <v>14.41</v>
      </c>
      <c r="U245">
        <v>2491725.46</v>
      </c>
      <c r="V245">
        <v>7.7605310760000004</v>
      </c>
      <c r="W245">
        <v>711038.45160000003</v>
      </c>
      <c r="X245">
        <v>14.89</v>
      </c>
      <c r="Y245">
        <v>3744326.61</v>
      </c>
      <c r="Z245">
        <v>14.41</v>
      </c>
      <c r="AA245">
        <v>2491725.46</v>
      </c>
    </row>
    <row r="246" spans="3:27" x14ac:dyDescent="0.2">
      <c r="D246">
        <v>8</v>
      </c>
      <c r="E246" s="7">
        <v>10.29</v>
      </c>
      <c r="F246" s="7">
        <v>334410.65999999997</v>
      </c>
      <c r="G246" s="7">
        <v>8.8699999999999992</v>
      </c>
      <c r="H246" s="7">
        <v>695596.48</v>
      </c>
      <c r="I246" s="7">
        <v>6.8060402709999996</v>
      </c>
      <c r="J246" s="7">
        <v>108542.2611</v>
      </c>
      <c r="K246" s="7">
        <v>15.05</v>
      </c>
      <c r="L246" s="7">
        <v>4050387.39</v>
      </c>
      <c r="M246" s="7">
        <v>16.95</v>
      </c>
      <c r="N246" s="7">
        <v>1567914.72</v>
      </c>
      <c r="P246" s="9">
        <v>2023</v>
      </c>
      <c r="Q246">
        <v>7</v>
      </c>
      <c r="R246" s="7">
        <v>2.95</v>
      </c>
      <c r="S246" s="7">
        <v>257274.74</v>
      </c>
      <c r="T246">
        <v>2.95</v>
      </c>
      <c r="U246">
        <v>257274.74</v>
      </c>
      <c r="V246">
        <v>6.7960757579999997</v>
      </c>
      <c r="W246">
        <v>269766.12170000002</v>
      </c>
      <c r="X246">
        <v>14.9</v>
      </c>
      <c r="Y246">
        <v>139054.20000000001</v>
      </c>
      <c r="Z246">
        <v>2.95</v>
      </c>
      <c r="AA246">
        <v>257274.74</v>
      </c>
    </row>
    <row r="247" spans="3:27" x14ac:dyDescent="0.2">
      <c r="D247">
        <v>9</v>
      </c>
      <c r="E247" s="7">
        <v>8.66</v>
      </c>
      <c r="F247" s="7">
        <v>572671.03</v>
      </c>
      <c r="G247" s="7">
        <v>11.58</v>
      </c>
      <c r="H247" s="7">
        <v>989168.68</v>
      </c>
      <c r="I247" s="7">
        <v>15.095012799999999</v>
      </c>
      <c r="J247" s="7">
        <v>3218.7451999999998</v>
      </c>
      <c r="K247" s="7">
        <v>14.41</v>
      </c>
      <c r="L247" s="7">
        <v>137374.28</v>
      </c>
      <c r="M247" s="7">
        <v>14.98</v>
      </c>
      <c r="N247" s="7">
        <v>1825189.47</v>
      </c>
      <c r="P247" s="9">
        <v>2023</v>
      </c>
      <c r="Q247">
        <v>8</v>
      </c>
      <c r="R247" s="7">
        <v>16.95</v>
      </c>
      <c r="S247" s="7">
        <v>1567914.72</v>
      </c>
      <c r="T247">
        <v>16.95</v>
      </c>
      <c r="U247">
        <v>1567914.72</v>
      </c>
      <c r="V247">
        <v>6.8060402709999996</v>
      </c>
      <c r="W247">
        <v>108542.2611</v>
      </c>
      <c r="X247">
        <v>15.05</v>
      </c>
      <c r="Y247">
        <v>4050387.39</v>
      </c>
      <c r="Z247">
        <v>16.95</v>
      </c>
      <c r="AA247">
        <v>1567914.72</v>
      </c>
    </row>
    <row r="248" spans="3:27" x14ac:dyDescent="0.2">
      <c r="D248">
        <v>10</v>
      </c>
      <c r="E248" s="7">
        <v>8.6300000000000008</v>
      </c>
      <c r="F248" s="7">
        <v>237147.04</v>
      </c>
      <c r="G248" s="7">
        <v>8.4700000000000006</v>
      </c>
      <c r="H248" s="7">
        <v>562628.97</v>
      </c>
      <c r="I248" s="7">
        <v>6.4868962559999996</v>
      </c>
      <c r="J248" s="7">
        <v>257702.44099999999</v>
      </c>
      <c r="K248" s="7">
        <v>15.36</v>
      </c>
      <c r="L248" s="7">
        <v>3291592.46</v>
      </c>
      <c r="M248" s="7">
        <v>3.77</v>
      </c>
      <c r="N248" s="7">
        <v>289951.62</v>
      </c>
      <c r="P248" s="9">
        <v>2023</v>
      </c>
      <c r="Q248">
        <v>9</v>
      </c>
      <c r="R248" s="7">
        <v>14.98</v>
      </c>
      <c r="S248" s="7">
        <v>1825189.47</v>
      </c>
      <c r="T248">
        <v>14.98</v>
      </c>
      <c r="U248">
        <v>1825189.47</v>
      </c>
      <c r="V248">
        <v>15.095012799999999</v>
      </c>
      <c r="W248">
        <v>3218.7451999999998</v>
      </c>
      <c r="X248">
        <v>14.41</v>
      </c>
      <c r="Y248">
        <v>137374.28</v>
      </c>
      <c r="Z248">
        <v>14.98</v>
      </c>
      <c r="AA248">
        <v>1825189.47</v>
      </c>
    </row>
    <row r="249" spans="3:27" x14ac:dyDescent="0.2">
      <c r="D249">
        <v>11</v>
      </c>
      <c r="E249" s="7">
        <v>10.57</v>
      </c>
      <c r="F249" s="7">
        <v>98639.31</v>
      </c>
      <c r="G249" s="7">
        <v>11.92</v>
      </c>
      <c r="H249" s="7">
        <v>244969.05</v>
      </c>
      <c r="I249" s="7">
        <v>2.8142090579999999</v>
      </c>
      <c r="J249" s="7">
        <v>144023.4154</v>
      </c>
      <c r="K249" s="7">
        <v>12.04</v>
      </c>
      <c r="L249" s="7">
        <v>149393.87</v>
      </c>
      <c r="M249" s="7">
        <v>15.63</v>
      </c>
      <c r="N249" s="7">
        <v>1562806.62</v>
      </c>
      <c r="P249" s="9">
        <v>2023</v>
      </c>
      <c r="Q249">
        <v>10</v>
      </c>
      <c r="R249" s="7">
        <v>3.77</v>
      </c>
      <c r="S249" s="7">
        <v>289951.62</v>
      </c>
      <c r="T249">
        <v>3.77</v>
      </c>
      <c r="U249">
        <v>289951.62</v>
      </c>
      <c r="V249">
        <v>6.4868962559999996</v>
      </c>
      <c r="W249">
        <v>257702.44099999999</v>
      </c>
      <c r="X249">
        <v>15.36</v>
      </c>
      <c r="Y249">
        <v>3291592.46</v>
      </c>
      <c r="Z249">
        <v>3.77</v>
      </c>
      <c r="AA249">
        <v>289951.62</v>
      </c>
    </row>
    <row r="250" spans="3:27" x14ac:dyDescent="0.2">
      <c r="D250">
        <v>12</v>
      </c>
      <c r="E250" s="7">
        <v>6.51</v>
      </c>
      <c r="F250" s="7">
        <v>115782.47</v>
      </c>
      <c r="G250" s="7">
        <v>8.4700000000000006</v>
      </c>
      <c r="H250" s="7">
        <v>221677.19</v>
      </c>
      <c r="I250" s="7">
        <v>8.1801360019999994</v>
      </c>
      <c r="J250" s="7">
        <v>143368.64319999999</v>
      </c>
      <c r="K250" s="7">
        <v>15.15</v>
      </c>
      <c r="L250" s="7">
        <v>3657654.18</v>
      </c>
      <c r="M250" s="7">
        <v>13.44</v>
      </c>
      <c r="N250" s="7">
        <v>1912981.84</v>
      </c>
      <c r="P250" s="9">
        <v>2023</v>
      </c>
      <c r="Q250">
        <v>11</v>
      </c>
      <c r="R250" s="7">
        <v>15.63</v>
      </c>
      <c r="S250" s="7">
        <v>1562806.62</v>
      </c>
      <c r="T250">
        <v>15.63</v>
      </c>
      <c r="U250">
        <v>1562806.62</v>
      </c>
      <c r="V250">
        <v>2.8142090579999999</v>
      </c>
      <c r="W250">
        <v>144023.4154</v>
      </c>
      <c r="X250">
        <v>12.04</v>
      </c>
      <c r="Y250">
        <v>149393.87</v>
      </c>
      <c r="Z250">
        <v>15.63</v>
      </c>
      <c r="AA250">
        <v>1562806.62</v>
      </c>
    </row>
    <row r="251" spans="3:27" x14ac:dyDescent="0.2">
      <c r="C251" t="s">
        <v>106</v>
      </c>
      <c r="E251" s="7">
        <v>86.42</v>
      </c>
      <c r="F251" s="7">
        <v>2936980.81</v>
      </c>
      <c r="G251" s="7">
        <v>112.44</v>
      </c>
      <c r="H251" s="7">
        <v>5553539.2999999998</v>
      </c>
      <c r="I251" s="7">
        <v>121.884772252</v>
      </c>
      <c r="J251" s="7">
        <v>1838406.1625800002</v>
      </c>
      <c r="K251" s="7">
        <v>160.82</v>
      </c>
      <c r="L251" s="7">
        <v>26139182.870000001</v>
      </c>
      <c r="M251" s="7">
        <v>134.34</v>
      </c>
      <c r="N251" s="7">
        <v>16530701.530000001</v>
      </c>
      <c r="P251" s="9">
        <v>2023</v>
      </c>
      <c r="Q251">
        <v>12</v>
      </c>
      <c r="R251" s="7">
        <v>13.44</v>
      </c>
      <c r="S251" s="7">
        <v>1912981.84</v>
      </c>
      <c r="T251">
        <v>13.44</v>
      </c>
      <c r="U251">
        <v>1912981.84</v>
      </c>
      <c r="V251">
        <v>8.1801360019999994</v>
      </c>
      <c r="W251">
        <v>143368.64319999999</v>
      </c>
      <c r="X251">
        <v>15.15</v>
      </c>
      <c r="Y251">
        <v>3657654.18</v>
      </c>
      <c r="Z251">
        <v>13.44</v>
      </c>
      <c r="AA251">
        <v>1912981.84</v>
      </c>
    </row>
    <row r="252" spans="3:27" x14ac:dyDescent="0.2">
      <c r="C252">
        <v>2024</v>
      </c>
      <c r="D252">
        <v>1</v>
      </c>
      <c r="E252" s="7">
        <v>8.32</v>
      </c>
      <c r="F252" s="7">
        <v>98326.25</v>
      </c>
      <c r="G252" s="7">
        <v>5.8</v>
      </c>
      <c r="H252" s="7">
        <v>53307.82</v>
      </c>
      <c r="I252" s="7">
        <v>8.1382245130000008</v>
      </c>
      <c r="J252" s="7">
        <v>320404.03850000002</v>
      </c>
      <c r="K252" s="7">
        <v>13.99</v>
      </c>
      <c r="L252" s="7">
        <v>134071.76</v>
      </c>
      <c r="M252" s="7">
        <v>3.18</v>
      </c>
      <c r="N252" s="7">
        <v>60223.6</v>
      </c>
      <c r="P252" s="10"/>
      <c r="Q252" s="10"/>
      <c r="R252" s="11"/>
      <c r="S252" s="11"/>
    </row>
    <row r="253" spans="3:27" x14ac:dyDescent="0.2">
      <c r="D253">
        <v>2</v>
      </c>
      <c r="E253" s="7">
        <v>8.6999999999999993</v>
      </c>
      <c r="F253" s="7">
        <v>40558.480000000003</v>
      </c>
      <c r="G253" s="7">
        <v>9.24</v>
      </c>
      <c r="H253" s="7">
        <v>114466.3</v>
      </c>
      <c r="I253" s="7">
        <v>7.7305949089999997</v>
      </c>
      <c r="J253" s="7">
        <v>69022.242960000003</v>
      </c>
      <c r="K253" s="7">
        <v>13.78</v>
      </c>
      <c r="L253" s="7">
        <v>5039366.6900000004</v>
      </c>
      <c r="M253" s="7">
        <v>1.75</v>
      </c>
      <c r="N253" s="7">
        <v>107748.6</v>
      </c>
      <c r="P253" s="9">
        <v>2024</v>
      </c>
      <c r="Q253">
        <v>1</v>
      </c>
      <c r="R253" s="7">
        <v>3.18</v>
      </c>
      <c r="S253" s="7">
        <v>60223.6</v>
      </c>
      <c r="T253">
        <v>3.18</v>
      </c>
      <c r="U253">
        <v>60223.6</v>
      </c>
      <c r="V253">
        <v>8.1382245130000008</v>
      </c>
      <c r="W253">
        <v>320404.03850000002</v>
      </c>
      <c r="X253">
        <v>13.99</v>
      </c>
      <c r="Y253">
        <v>134071.76</v>
      </c>
      <c r="Z253">
        <v>3.18</v>
      </c>
      <c r="AA253">
        <v>60223.6</v>
      </c>
    </row>
    <row r="254" spans="3:27" x14ac:dyDescent="0.2">
      <c r="D254">
        <v>3</v>
      </c>
      <c r="E254" s="7">
        <v>10.86</v>
      </c>
      <c r="F254" s="7">
        <v>134415.95000000001</v>
      </c>
      <c r="G254" s="7">
        <v>11.07</v>
      </c>
      <c r="H254" s="7">
        <v>158109.04999999999</v>
      </c>
      <c r="I254" s="7">
        <v>7.0180870630000003</v>
      </c>
      <c r="J254" s="7">
        <v>318137.68910000002</v>
      </c>
      <c r="K254" s="7">
        <v>12.73</v>
      </c>
      <c r="L254" s="7">
        <v>185119.74</v>
      </c>
      <c r="M254" s="7">
        <v>14.06</v>
      </c>
      <c r="N254" s="7">
        <v>692076.52</v>
      </c>
      <c r="P254" s="9">
        <v>2024</v>
      </c>
      <c r="Q254">
        <v>2</v>
      </c>
      <c r="R254" s="7">
        <v>1.75</v>
      </c>
      <c r="S254" s="7">
        <v>107748.6</v>
      </c>
      <c r="T254">
        <v>1.75</v>
      </c>
      <c r="U254">
        <v>107748.6</v>
      </c>
      <c r="V254">
        <v>7.7305949089999997</v>
      </c>
      <c r="W254">
        <v>69022.242960000003</v>
      </c>
      <c r="X254">
        <v>13.78</v>
      </c>
      <c r="Y254">
        <v>5039366.6900000004</v>
      </c>
      <c r="Z254">
        <v>1.75</v>
      </c>
      <c r="AA254">
        <v>107748.6</v>
      </c>
    </row>
    <row r="255" spans="3:27" x14ac:dyDescent="0.2">
      <c r="D255">
        <v>4</v>
      </c>
      <c r="E255" s="7">
        <v>7.66</v>
      </c>
      <c r="F255" s="7">
        <v>80215.259999999995</v>
      </c>
      <c r="G255" s="7">
        <v>9.1300000000000008</v>
      </c>
      <c r="H255" s="7">
        <v>34841.879999999997</v>
      </c>
      <c r="I255" s="7">
        <v>7.8395143530000002</v>
      </c>
      <c r="J255" s="7">
        <v>15844.603940000001</v>
      </c>
      <c r="K255" s="7">
        <v>13.99</v>
      </c>
      <c r="L255" s="7">
        <v>30842.63</v>
      </c>
      <c r="M255" s="7">
        <v>12.4</v>
      </c>
      <c r="N255" s="7">
        <v>799825.11</v>
      </c>
      <c r="P255" s="9">
        <v>2024</v>
      </c>
      <c r="Q255">
        <v>3</v>
      </c>
      <c r="R255" s="7">
        <v>14.06</v>
      </c>
      <c r="S255" s="7">
        <v>692076.52</v>
      </c>
      <c r="T255">
        <v>14.06</v>
      </c>
      <c r="U255">
        <v>692076.52</v>
      </c>
      <c r="V255">
        <v>7.0180870630000003</v>
      </c>
      <c r="W255">
        <v>318137.68910000002</v>
      </c>
      <c r="X255">
        <v>12.73</v>
      </c>
      <c r="Y255">
        <v>185119.74</v>
      </c>
      <c r="Z255">
        <v>14.06</v>
      </c>
      <c r="AA255">
        <v>692076.52</v>
      </c>
    </row>
    <row r="256" spans="3:27" x14ac:dyDescent="0.2">
      <c r="D256">
        <v>5</v>
      </c>
      <c r="E256" s="7">
        <v>8.52</v>
      </c>
      <c r="F256" s="7">
        <v>75239.42</v>
      </c>
      <c r="G256" s="7">
        <v>5.98</v>
      </c>
      <c r="H256" s="7">
        <v>302789.73</v>
      </c>
      <c r="I256" s="7">
        <v>4.3424878070000004</v>
      </c>
      <c r="J256" s="7">
        <v>133787.36470000001</v>
      </c>
      <c r="K256" s="7">
        <v>13.77</v>
      </c>
      <c r="L256" s="7">
        <v>2406805.7000000002</v>
      </c>
      <c r="M256" s="7">
        <v>2.34</v>
      </c>
      <c r="N256" s="7">
        <v>58989.02</v>
      </c>
      <c r="P256" s="9">
        <v>2024</v>
      </c>
      <c r="Q256">
        <v>4</v>
      </c>
      <c r="R256" s="7">
        <v>12.4</v>
      </c>
      <c r="S256" s="7">
        <v>799825.11</v>
      </c>
      <c r="T256">
        <v>12.4</v>
      </c>
      <c r="U256">
        <v>799825.11</v>
      </c>
      <c r="V256">
        <v>7.8395143530000002</v>
      </c>
      <c r="W256">
        <v>15844.603940000001</v>
      </c>
      <c r="X256">
        <v>13.99</v>
      </c>
      <c r="Y256">
        <v>30842.63</v>
      </c>
      <c r="Z256">
        <v>12.4</v>
      </c>
      <c r="AA256">
        <v>799825.11</v>
      </c>
    </row>
    <row r="257" spans="3:27" x14ac:dyDescent="0.2">
      <c r="D257">
        <v>6</v>
      </c>
      <c r="E257" s="7">
        <v>8.2200000000000006</v>
      </c>
      <c r="F257" s="7">
        <v>450876.56</v>
      </c>
      <c r="G257" s="7">
        <v>8.83</v>
      </c>
      <c r="H257" s="7">
        <v>1743780.75</v>
      </c>
      <c r="I257" s="7">
        <v>6.8582176300000004</v>
      </c>
      <c r="J257" s="7">
        <v>673753.91819999996</v>
      </c>
      <c r="K257" s="7">
        <v>4.04</v>
      </c>
      <c r="L257" s="7">
        <v>14325.62</v>
      </c>
      <c r="M257" s="7">
        <v>14.27</v>
      </c>
      <c r="N257" s="7">
        <v>918793.02</v>
      </c>
      <c r="P257" s="9">
        <v>2024</v>
      </c>
      <c r="Q257">
        <v>5</v>
      </c>
      <c r="R257" s="7">
        <v>2.34</v>
      </c>
      <c r="S257" s="7">
        <v>58989.02</v>
      </c>
      <c r="T257">
        <v>2.34</v>
      </c>
      <c r="U257">
        <v>58989.02</v>
      </c>
      <c r="V257">
        <v>4.3424878070000004</v>
      </c>
      <c r="W257">
        <v>133787.36470000001</v>
      </c>
      <c r="X257">
        <v>13.77</v>
      </c>
      <c r="Y257">
        <v>2406805.7000000002</v>
      </c>
      <c r="Z257">
        <v>2.34</v>
      </c>
      <c r="AA257">
        <v>58989.02</v>
      </c>
    </row>
    <row r="258" spans="3:27" x14ac:dyDescent="0.2">
      <c r="D258">
        <v>7</v>
      </c>
      <c r="E258" s="7">
        <v>10.29</v>
      </c>
      <c r="F258" s="7">
        <v>689582.27</v>
      </c>
      <c r="G258" s="7">
        <v>9.19</v>
      </c>
      <c r="H258" s="7">
        <v>1852462.12</v>
      </c>
      <c r="I258" s="7">
        <v>7.584404728</v>
      </c>
      <c r="J258" s="7">
        <v>515572.43320000003</v>
      </c>
      <c r="K258" s="7">
        <v>13.8</v>
      </c>
      <c r="L258" s="7">
        <v>690401</v>
      </c>
      <c r="M258" s="7">
        <v>12.65</v>
      </c>
      <c r="N258" s="7">
        <v>1075089.56</v>
      </c>
      <c r="P258" s="9">
        <v>2024</v>
      </c>
      <c r="Q258">
        <v>6</v>
      </c>
      <c r="R258" s="7">
        <v>14.27</v>
      </c>
      <c r="S258" s="7">
        <v>918793.02</v>
      </c>
      <c r="T258">
        <v>14.27</v>
      </c>
      <c r="U258">
        <v>918793.02</v>
      </c>
      <c r="V258">
        <v>6.8582176300000004</v>
      </c>
      <c r="W258">
        <v>673753.91819999996</v>
      </c>
      <c r="X258">
        <v>4.04</v>
      </c>
      <c r="Y258">
        <v>14325.62</v>
      </c>
      <c r="Z258">
        <v>14.27</v>
      </c>
      <c r="AA258">
        <v>918793.02</v>
      </c>
    </row>
    <row r="259" spans="3:27" x14ac:dyDescent="0.2">
      <c r="D259">
        <v>8</v>
      </c>
      <c r="E259" s="7">
        <v>8.8699999999999992</v>
      </c>
      <c r="F259" s="7">
        <v>520926.29</v>
      </c>
      <c r="G259" s="7">
        <v>8.33</v>
      </c>
      <c r="H259" s="7">
        <v>1253589.1299999999</v>
      </c>
      <c r="I259" s="7">
        <v>8.8088132409999993</v>
      </c>
      <c r="J259" s="7">
        <v>117618.6816</v>
      </c>
      <c r="K259" s="7">
        <v>14.86</v>
      </c>
      <c r="L259" s="7">
        <v>462725.49</v>
      </c>
      <c r="M259" s="7">
        <v>3.52</v>
      </c>
      <c r="N259" s="7">
        <v>97307.520000000004</v>
      </c>
      <c r="P259" s="9">
        <v>2024</v>
      </c>
      <c r="Q259">
        <v>7</v>
      </c>
      <c r="R259" s="7">
        <v>12.65</v>
      </c>
      <c r="S259" s="7">
        <v>1075089.56</v>
      </c>
      <c r="T259">
        <v>12.65</v>
      </c>
      <c r="U259">
        <v>1075089.56</v>
      </c>
      <c r="V259">
        <v>7.584404728</v>
      </c>
      <c r="W259">
        <v>515572.43320000003</v>
      </c>
      <c r="X259">
        <v>13.8</v>
      </c>
      <c r="Y259">
        <v>690401</v>
      </c>
      <c r="Z259">
        <v>12.65</v>
      </c>
      <c r="AA259">
        <v>1075089.56</v>
      </c>
    </row>
    <row r="260" spans="3:27" x14ac:dyDescent="0.2">
      <c r="D260">
        <v>9</v>
      </c>
      <c r="E260" s="7">
        <v>8.11</v>
      </c>
      <c r="F260" s="7">
        <v>182882.41</v>
      </c>
      <c r="G260" s="7">
        <v>8.6300000000000008</v>
      </c>
      <c r="H260" s="7">
        <v>1086090.58</v>
      </c>
      <c r="I260" s="7">
        <v>11.189231100000001</v>
      </c>
      <c r="J260" s="7">
        <v>19801.896840000001</v>
      </c>
      <c r="K260" s="7">
        <v>3.83</v>
      </c>
      <c r="L260" s="7">
        <v>40221.089999999997</v>
      </c>
      <c r="M260" s="7">
        <v>2.06</v>
      </c>
      <c r="N260" s="7">
        <v>128754.22</v>
      </c>
      <c r="P260" s="9">
        <v>2024</v>
      </c>
      <c r="Q260">
        <v>8</v>
      </c>
      <c r="R260" s="7">
        <v>3.52</v>
      </c>
      <c r="S260" s="7">
        <v>97307.520000000004</v>
      </c>
      <c r="T260">
        <v>3.52</v>
      </c>
      <c r="U260">
        <v>97307.520000000004</v>
      </c>
      <c r="V260">
        <v>8.8088132409999993</v>
      </c>
      <c r="W260">
        <v>117618.6816</v>
      </c>
      <c r="X260">
        <v>14.86</v>
      </c>
      <c r="Y260">
        <v>462725.49</v>
      </c>
      <c r="Z260">
        <v>3.52</v>
      </c>
      <c r="AA260">
        <v>97307.520000000004</v>
      </c>
    </row>
    <row r="261" spans="3:27" x14ac:dyDescent="0.2">
      <c r="D261">
        <v>10</v>
      </c>
      <c r="E261" s="7">
        <v>15.19</v>
      </c>
      <c r="F261" s="7">
        <v>161691.56</v>
      </c>
      <c r="G261" s="7">
        <v>8.6</v>
      </c>
      <c r="H261" s="7">
        <v>514345.49</v>
      </c>
      <c r="I261" s="7">
        <v>5.124093158</v>
      </c>
      <c r="J261" s="7">
        <v>110305.9571</v>
      </c>
      <c r="K261" s="7">
        <v>13.54</v>
      </c>
      <c r="L261" s="7">
        <v>417475.66</v>
      </c>
      <c r="M261" s="7">
        <v>10.87</v>
      </c>
      <c r="N261" s="7">
        <v>864241.9</v>
      </c>
      <c r="P261" s="9">
        <v>2024</v>
      </c>
      <c r="Q261">
        <v>9</v>
      </c>
      <c r="R261" s="7">
        <v>2.06</v>
      </c>
      <c r="S261" s="7">
        <v>128754.22</v>
      </c>
      <c r="T261">
        <v>2.06</v>
      </c>
      <c r="U261">
        <v>128754.22</v>
      </c>
      <c r="V261">
        <v>11.189231100000001</v>
      </c>
      <c r="W261">
        <v>19801.896840000001</v>
      </c>
      <c r="X261">
        <v>3.83</v>
      </c>
      <c r="Y261">
        <v>40221.089999999997</v>
      </c>
      <c r="Z261">
        <v>2.06</v>
      </c>
      <c r="AA261">
        <v>128754.22</v>
      </c>
    </row>
    <row r="262" spans="3:27" x14ac:dyDescent="0.2">
      <c r="D262">
        <v>11</v>
      </c>
      <c r="E262" s="7">
        <v>12.73</v>
      </c>
      <c r="F262" s="7">
        <v>151545.88</v>
      </c>
      <c r="G262" s="7">
        <v>9.35</v>
      </c>
      <c r="H262" s="7">
        <v>374054.22</v>
      </c>
      <c r="I262" s="7">
        <v>7.8551999769999998</v>
      </c>
      <c r="J262" s="7">
        <v>282506.62070000003</v>
      </c>
      <c r="K262" s="7">
        <v>4.09</v>
      </c>
      <c r="L262" s="7">
        <v>21783.85</v>
      </c>
      <c r="M262" s="7">
        <v>12.74</v>
      </c>
      <c r="N262" s="7">
        <v>671260.49</v>
      </c>
      <c r="P262" s="9">
        <v>2024</v>
      </c>
      <c r="Q262">
        <v>10</v>
      </c>
      <c r="R262" s="7">
        <v>10.87</v>
      </c>
      <c r="S262" s="7">
        <v>864241.9</v>
      </c>
      <c r="T262">
        <v>10.87</v>
      </c>
      <c r="U262">
        <v>864241.9</v>
      </c>
      <c r="V262">
        <v>5.124093158</v>
      </c>
      <c r="W262">
        <v>110305.9571</v>
      </c>
      <c r="X262">
        <v>13.54</v>
      </c>
      <c r="Y262">
        <v>417475.66</v>
      </c>
      <c r="Z262">
        <v>10.87</v>
      </c>
      <c r="AA262">
        <v>864241.9</v>
      </c>
    </row>
    <row r="263" spans="3:27" x14ac:dyDescent="0.2">
      <c r="D263">
        <v>12</v>
      </c>
      <c r="E263" s="7">
        <v>10.029999999999999</v>
      </c>
      <c r="F263" s="7">
        <v>51804.26</v>
      </c>
      <c r="G263" s="7">
        <v>7.79</v>
      </c>
      <c r="H263" s="7">
        <v>433127.13</v>
      </c>
      <c r="I263" s="7">
        <v>7.5164853129999996</v>
      </c>
      <c r="J263" s="7">
        <v>70274.467120000001</v>
      </c>
      <c r="K263" s="7">
        <v>9.3800000000000008</v>
      </c>
      <c r="L263" s="7">
        <v>184797.86</v>
      </c>
      <c r="M263" s="7">
        <v>8.9600000000000009</v>
      </c>
      <c r="N263" s="7">
        <v>64227.19</v>
      </c>
      <c r="P263" s="9">
        <v>2024</v>
      </c>
      <c r="Q263">
        <v>11</v>
      </c>
      <c r="R263" s="7">
        <v>12.74</v>
      </c>
      <c r="S263" s="7">
        <v>671260.49</v>
      </c>
      <c r="T263">
        <v>12.74</v>
      </c>
      <c r="U263">
        <v>671260.49</v>
      </c>
      <c r="V263">
        <v>7.8551999769999998</v>
      </c>
      <c r="W263">
        <v>282506.62070000003</v>
      </c>
      <c r="X263">
        <v>4.09</v>
      </c>
      <c r="Y263">
        <v>21783.85</v>
      </c>
      <c r="Z263">
        <v>12.74</v>
      </c>
      <c r="AA263">
        <v>671260.49</v>
      </c>
    </row>
    <row r="264" spans="3:27" x14ac:dyDescent="0.2">
      <c r="C264" t="s">
        <v>107</v>
      </c>
      <c r="E264" s="7">
        <v>117.5</v>
      </c>
      <c r="F264" s="7">
        <v>2638064.59</v>
      </c>
      <c r="G264" s="7">
        <v>101.93999999999998</v>
      </c>
      <c r="H264" s="7">
        <v>7920964.2000000002</v>
      </c>
      <c r="I264" s="7">
        <v>90.005353791999994</v>
      </c>
      <c r="J264" s="7">
        <v>2647029.9139600005</v>
      </c>
      <c r="K264" s="7">
        <v>131.80000000000001</v>
      </c>
      <c r="L264" s="7">
        <v>9627937.0899999999</v>
      </c>
      <c r="M264" s="7">
        <v>98.800000000000011</v>
      </c>
      <c r="N264" s="7">
        <v>5538536.7500000009</v>
      </c>
      <c r="P264" s="9">
        <v>2024</v>
      </c>
      <c r="Q264">
        <v>12</v>
      </c>
      <c r="R264" s="7">
        <v>8.9600000000000009</v>
      </c>
      <c r="S264" s="7">
        <v>64227.19</v>
      </c>
      <c r="T264">
        <v>8.9600000000000009</v>
      </c>
      <c r="U264">
        <v>64227.19</v>
      </c>
      <c r="V264">
        <v>7.5164853129999996</v>
      </c>
      <c r="W264">
        <v>70274.467120000001</v>
      </c>
      <c r="X264">
        <v>9.3800000000000008</v>
      </c>
      <c r="Y264">
        <v>184797.86</v>
      </c>
      <c r="Z264">
        <v>8.9600000000000009</v>
      </c>
      <c r="AA264">
        <v>64227.19</v>
      </c>
    </row>
    <row r="265" spans="3:27" x14ac:dyDescent="0.2">
      <c r="C265">
        <v>2025</v>
      </c>
      <c r="D265">
        <v>1</v>
      </c>
      <c r="E265" s="7">
        <v>13.87</v>
      </c>
      <c r="F265" s="7">
        <v>34949.910000000003</v>
      </c>
      <c r="G265" s="7"/>
      <c r="H265" s="7"/>
      <c r="I265" s="7"/>
      <c r="J265" s="7"/>
      <c r="K265" s="7">
        <v>13.1</v>
      </c>
      <c r="L265" s="7">
        <v>2874835.5</v>
      </c>
      <c r="M265" s="7">
        <v>15.5</v>
      </c>
      <c r="N265" s="7">
        <v>2912.3</v>
      </c>
      <c r="P265" s="10"/>
      <c r="Q265" s="10"/>
      <c r="R265" s="11"/>
      <c r="S265" s="11"/>
    </row>
    <row r="266" spans="3:27" x14ac:dyDescent="0.2">
      <c r="D266">
        <v>2</v>
      </c>
      <c r="E266" s="7"/>
      <c r="F266" s="7"/>
      <c r="G266" s="7"/>
      <c r="H266" s="7"/>
      <c r="I266" s="7"/>
      <c r="J266" s="7"/>
      <c r="K266" s="7">
        <v>11.62</v>
      </c>
      <c r="L266" s="7">
        <v>237384.66</v>
      </c>
      <c r="M266" s="7">
        <v>13.44</v>
      </c>
      <c r="N266" s="7">
        <v>210450.82</v>
      </c>
      <c r="P266" s="9"/>
      <c r="R266" s="7"/>
      <c r="S266" s="7"/>
    </row>
    <row r="267" spans="3:27" x14ac:dyDescent="0.2">
      <c r="C267" t="s">
        <v>108</v>
      </c>
      <c r="E267" s="7">
        <v>13.87</v>
      </c>
      <c r="F267" s="7">
        <v>34949.910000000003</v>
      </c>
      <c r="G267" s="7"/>
      <c r="H267" s="7"/>
      <c r="I267" s="7"/>
      <c r="J267" s="7"/>
      <c r="K267" s="7">
        <v>24.72</v>
      </c>
      <c r="L267" s="7">
        <v>3112220.16</v>
      </c>
      <c r="M267" s="7">
        <v>28.939999999999998</v>
      </c>
      <c r="N267" s="7">
        <v>213363.12</v>
      </c>
      <c r="P267" s="9"/>
      <c r="R267" s="7"/>
      <c r="S267" s="7"/>
    </row>
    <row r="268" spans="3:27" x14ac:dyDescent="0.2">
      <c r="C268" t="s">
        <v>87</v>
      </c>
      <c r="E268" s="7">
        <v>1640.2800000000004</v>
      </c>
      <c r="F268" s="7">
        <v>73857826.00000006</v>
      </c>
      <c r="G268" s="7">
        <v>1987.3699999999994</v>
      </c>
      <c r="H268" s="7">
        <v>105718231.32999998</v>
      </c>
      <c r="I268" s="7">
        <v>1415.572819627999</v>
      </c>
      <c r="J268" s="7">
        <v>23618146.97090001</v>
      </c>
      <c r="K268" s="7">
        <v>2966.9099999999994</v>
      </c>
      <c r="L268" s="7">
        <v>294486574.22000003</v>
      </c>
      <c r="M268" s="7">
        <v>2734.04</v>
      </c>
      <c r="N268" s="7">
        <v>253132649.64000008</v>
      </c>
    </row>
    <row r="272" spans="3:27" x14ac:dyDescent="0.2">
      <c r="C272" t="s">
        <v>1</v>
      </c>
      <c r="D272" t="s">
        <v>2</v>
      </c>
      <c r="E272" t="s">
        <v>118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127</v>
      </c>
    </row>
    <row r="273" spans="3:14" x14ac:dyDescent="0.2">
      <c r="C273">
        <v>2013</v>
      </c>
      <c r="D273">
        <v>1</v>
      </c>
      <c r="E273">
        <v>7.98</v>
      </c>
      <c r="F273">
        <v>141345.09</v>
      </c>
      <c r="G273">
        <v>10.17</v>
      </c>
      <c r="H273">
        <v>87001.09</v>
      </c>
      <c r="K273">
        <v>10.94</v>
      </c>
      <c r="L273">
        <v>72073.440000000002</v>
      </c>
      <c r="M273">
        <v>11.74</v>
      </c>
      <c r="N273">
        <v>775779.32</v>
      </c>
    </row>
    <row r="274" spans="3:14" x14ac:dyDescent="0.2">
      <c r="C274">
        <v>2013</v>
      </c>
      <c r="D274">
        <v>2</v>
      </c>
      <c r="E274">
        <v>10.61</v>
      </c>
      <c r="F274">
        <v>11091.47</v>
      </c>
      <c r="G274">
        <v>8.7200000000000006</v>
      </c>
      <c r="H274">
        <v>89595.94</v>
      </c>
      <c r="I274">
        <v>22.032909780000001</v>
      </c>
      <c r="J274">
        <v>7517.7542000000003</v>
      </c>
      <c r="K274">
        <v>11.35</v>
      </c>
      <c r="L274">
        <v>2556680.1800000002</v>
      </c>
      <c r="M274">
        <v>10.44</v>
      </c>
      <c r="N274">
        <v>186585.81</v>
      </c>
    </row>
    <row r="275" spans="3:14" x14ac:dyDescent="0.2">
      <c r="C275">
        <v>2013</v>
      </c>
      <c r="D275">
        <v>3</v>
      </c>
      <c r="E275">
        <v>4.8499999999999996</v>
      </c>
      <c r="F275">
        <v>37033.279999999999</v>
      </c>
      <c r="G275">
        <v>5.64</v>
      </c>
      <c r="H275">
        <v>74287.02</v>
      </c>
      <c r="K275">
        <v>3.99</v>
      </c>
      <c r="L275">
        <v>3437</v>
      </c>
      <c r="M275">
        <v>14.14</v>
      </c>
      <c r="N275">
        <v>169958.57</v>
      </c>
    </row>
    <row r="276" spans="3:14" x14ac:dyDescent="0.2">
      <c r="C276">
        <v>2013</v>
      </c>
      <c r="D276">
        <v>4</v>
      </c>
      <c r="E276">
        <v>5.94</v>
      </c>
      <c r="F276">
        <v>60351.59</v>
      </c>
      <c r="G276">
        <v>5.17</v>
      </c>
      <c r="H276">
        <v>310825.59000000003</v>
      </c>
      <c r="K276">
        <v>12.23</v>
      </c>
      <c r="L276">
        <v>2265176.5</v>
      </c>
      <c r="M276">
        <v>8.36</v>
      </c>
      <c r="N276">
        <v>125154.07</v>
      </c>
    </row>
    <row r="277" spans="3:14" x14ac:dyDescent="0.2">
      <c r="C277">
        <v>2013</v>
      </c>
      <c r="D277">
        <v>5</v>
      </c>
      <c r="E277">
        <v>0</v>
      </c>
      <c r="F277">
        <v>0</v>
      </c>
      <c r="G277">
        <v>4.75</v>
      </c>
      <c r="H277">
        <v>130410.15</v>
      </c>
      <c r="I277">
        <v>4.2758805730000002</v>
      </c>
      <c r="J277">
        <v>82942.213640000002</v>
      </c>
      <c r="K277">
        <v>5</v>
      </c>
      <c r="L277">
        <v>9358.61</v>
      </c>
      <c r="M277">
        <v>10.66</v>
      </c>
      <c r="N277">
        <v>1807014.58</v>
      </c>
    </row>
    <row r="278" spans="3:14" x14ac:dyDescent="0.2">
      <c r="C278">
        <v>2013</v>
      </c>
      <c r="D278">
        <v>6</v>
      </c>
      <c r="E278">
        <v>6.32</v>
      </c>
      <c r="F278">
        <v>473725.29</v>
      </c>
      <c r="G278">
        <v>5.62</v>
      </c>
      <c r="H278">
        <v>576643.77</v>
      </c>
      <c r="I278">
        <v>5.23183928</v>
      </c>
      <c r="J278">
        <v>326303.60159999999</v>
      </c>
      <c r="K278">
        <v>13.19</v>
      </c>
      <c r="L278">
        <v>2225524.21</v>
      </c>
      <c r="M278">
        <v>11.29</v>
      </c>
      <c r="N278">
        <v>3298179.86</v>
      </c>
    </row>
    <row r="279" spans="3:14" x14ac:dyDescent="0.2">
      <c r="C279">
        <v>2013</v>
      </c>
      <c r="D279">
        <v>7</v>
      </c>
      <c r="E279">
        <v>6.55</v>
      </c>
      <c r="F279">
        <v>528620.43000000005</v>
      </c>
      <c r="G279">
        <v>7.29</v>
      </c>
      <c r="H279">
        <v>636371.44999999995</v>
      </c>
      <c r="I279">
        <v>5.6343844680000004</v>
      </c>
      <c r="J279">
        <v>13201.26456</v>
      </c>
      <c r="K279">
        <v>12.48</v>
      </c>
      <c r="L279">
        <v>738.55</v>
      </c>
      <c r="M279">
        <v>11.81</v>
      </c>
      <c r="N279">
        <v>1965240.16</v>
      </c>
    </row>
    <row r="280" spans="3:14" x14ac:dyDescent="0.2">
      <c r="C280">
        <v>2013</v>
      </c>
      <c r="D280">
        <v>8</v>
      </c>
      <c r="E280">
        <v>6.47</v>
      </c>
      <c r="F280">
        <v>501175.06</v>
      </c>
      <c r="G280">
        <v>7.35</v>
      </c>
      <c r="H280">
        <v>235015.17</v>
      </c>
      <c r="I280">
        <v>3.708125441</v>
      </c>
      <c r="J280">
        <v>154140.41649999999</v>
      </c>
      <c r="K280">
        <v>12.32</v>
      </c>
      <c r="L280">
        <v>1634664</v>
      </c>
      <c r="M280">
        <v>11.05</v>
      </c>
      <c r="N280">
        <v>2413190.2799999998</v>
      </c>
    </row>
    <row r="281" spans="3:14" x14ac:dyDescent="0.2">
      <c r="C281">
        <v>2013</v>
      </c>
      <c r="D281">
        <v>9</v>
      </c>
      <c r="E281">
        <v>6.24</v>
      </c>
      <c r="F281">
        <v>257383.29</v>
      </c>
      <c r="G281">
        <v>7.18</v>
      </c>
      <c r="H281">
        <v>312626.77</v>
      </c>
      <c r="I281">
        <v>4.8827439139999997</v>
      </c>
      <c r="J281">
        <v>95806.171340000001</v>
      </c>
      <c r="K281">
        <v>12.79</v>
      </c>
      <c r="L281">
        <v>1145743.22</v>
      </c>
      <c r="M281">
        <v>10.8</v>
      </c>
      <c r="N281">
        <v>1976223.57</v>
      </c>
    </row>
    <row r="282" spans="3:14" x14ac:dyDescent="0.2">
      <c r="C282">
        <v>2013</v>
      </c>
      <c r="D282">
        <v>10</v>
      </c>
      <c r="E282">
        <v>6.99</v>
      </c>
      <c r="F282">
        <v>397398.98</v>
      </c>
      <c r="G282">
        <v>7.51</v>
      </c>
      <c r="H282">
        <v>396790.51</v>
      </c>
      <c r="I282">
        <v>4.7265283230000001</v>
      </c>
      <c r="J282">
        <v>100435.87330000001</v>
      </c>
      <c r="K282">
        <v>5.86</v>
      </c>
      <c r="L282">
        <v>14050.04</v>
      </c>
      <c r="M282">
        <v>10.95</v>
      </c>
      <c r="N282">
        <v>2141428.98</v>
      </c>
    </row>
    <row r="283" spans="3:14" x14ac:dyDescent="0.2">
      <c r="C283">
        <v>2013</v>
      </c>
      <c r="D283">
        <v>11</v>
      </c>
      <c r="E283">
        <v>6.75</v>
      </c>
      <c r="F283">
        <v>353846.63</v>
      </c>
      <c r="G283">
        <v>6.4</v>
      </c>
      <c r="H283">
        <v>400582.46</v>
      </c>
      <c r="I283">
        <v>3.5565179269999998</v>
      </c>
      <c r="J283">
        <v>56420.635040000001</v>
      </c>
      <c r="K283">
        <v>10.85</v>
      </c>
      <c r="L283">
        <v>9012.49</v>
      </c>
      <c r="M283">
        <v>11.05</v>
      </c>
      <c r="N283">
        <v>1336930.07</v>
      </c>
    </row>
    <row r="284" spans="3:14" x14ac:dyDescent="0.2">
      <c r="C284">
        <v>2013</v>
      </c>
      <c r="D284">
        <v>12</v>
      </c>
      <c r="E284">
        <v>6.21</v>
      </c>
      <c r="F284">
        <v>105180.43</v>
      </c>
      <c r="G284">
        <v>7.24</v>
      </c>
      <c r="H284">
        <v>208059.23</v>
      </c>
      <c r="I284">
        <v>3.5163858559999999</v>
      </c>
      <c r="J284">
        <v>120339.1827</v>
      </c>
      <c r="K284">
        <v>11.54</v>
      </c>
      <c r="L284">
        <v>328704.43</v>
      </c>
      <c r="M284">
        <v>10.4</v>
      </c>
      <c r="N284">
        <v>1653923.56</v>
      </c>
    </row>
    <row r="285" spans="3:14" x14ac:dyDescent="0.2">
      <c r="C285">
        <v>2014</v>
      </c>
      <c r="D285">
        <v>1</v>
      </c>
      <c r="E285">
        <v>6.02</v>
      </c>
      <c r="F285">
        <v>6946.77</v>
      </c>
      <c r="G285">
        <v>7.62</v>
      </c>
      <c r="H285">
        <v>130055.2</v>
      </c>
      <c r="K285">
        <v>5.18</v>
      </c>
      <c r="L285">
        <v>4210.82</v>
      </c>
      <c r="M285">
        <v>10.44</v>
      </c>
      <c r="N285">
        <v>714528.37</v>
      </c>
    </row>
    <row r="286" spans="3:14" x14ac:dyDescent="0.2">
      <c r="C286">
        <v>2014</v>
      </c>
      <c r="D286">
        <v>2</v>
      </c>
      <c r="E286">
        <v>6.07</v>
      </c>
      <c r="F286">
        <v>29266.39</v>
      </c>
      <c r="G286">
        <v>12.34</v>
      </c>
      <c r="H286">
        <v>64322.12</v>
      </c>
      <c r="K286">
        <v>12.81</v>
      </c>
      <c r="L286">
        <v>357529.84</v>
      </c>
      <c r="M286">
        <v>14.11</v>
      </c>
      <c r="N286">
        <v>113445.34</v>
      </c>
    </row>
    <row r="287" spans="3:14" x14ac:dyDescent="0.2">
      <c r="C287">
        <v>2014</v>
      </c>
      <c r="D287">
        <v>3</v>
      </c>
      <c r="E287">
        <v>4.93</v>
      </c>
      <c r="F287">
        <v>33073.78</v>
      </c>
      <c r="G287">
        <v>8.34</v>
      </c>
      <c r="H287">
        <v>120066.05</v>
      </c>
      <c r="I287">
        <v>9.4808790740000006</v>
      </c>
      <c r="J287">
        <v>25150.304960000001</v>
      </c>
      <c r="K287">
        <v>12.92</v>
      </c>
      <c r="L287">
        <v>352785.5</v>
      </c>
      <c r="M287">
        <v>13.63</v>
      </c>
      <c r="N287">
        <v>137832.84</v>
      </c>
    </row>
    <row r="288" spans="3:14" x14ac:dyDescent="0.2">
      <c r="C288">
        <v>2014</v>
      </c>
      <c r="D288">
        <v>4</v>
      </c>
      <c r="E288">
        <v>5.84</v>
      </c>
      <c r="F288">
        <v>47855.78</v>
      </c>
      <c r="G288">
        <v>3.99</v>
      </c>
      <c r="H288">
        <v>43005.61</v>
      </c>
      <c r="I288">
        <v>2.2906314440000002</v>
      </c>
      <c r="J288">
        <v>39220.1898</v>
      </c>
      <c r="K288">
        <v>10.95</v>
      </c>
      <c r="L288">
        <v>4223031.18</v>
      </c>
      <c r="M288">
        <v>13.19</v>
      </c>
      <c r="N288">
        <v>104062.47</v>
      </c>
    </row>
    <row r="289" spans="3:14" x14ac:dyDescent="0.2">
      <c r="C289">
        <v>2014</v>
      </c>
      <c r="D289">
        <v>5</v>
      </c>
      <c r="E289">
        <v>6.98</v>
      </c>
      <c r="F289">
        <v>22059.47</v>
      </c>
      <c r="G289">
        <v>6.98</v>
      </c>
      <c r="H289">
        <v>127473.59</v>
      </c>
      <c r="I289">
        <v>12.99960991</v>
      </c>
      <c r="J289">
        <v>2755.7750000000001</v>
      </c>
      <c r="K289">
        <v>11.37</v>
      </c>
      <c r="L289">
        <v>171054.26</v>
      </c>
      <c r="M289">
        <v>11.05</v>
      </c>
      <c r="N289">
        <v>1017125.69</v>
      </c>
    </row>
    <row r="290" spans="3:14" x14ac:dyDescent="0.2">
      <c r="C290">
        <v>2014</v>
      </c>
      <c r="D290">
        <v>6</v>
      </c>
      <c r="E290">
        <v>5.95</v>
      </c>
      <c r="F290">
        <v>576474.01</v>
      </c>
      <c r="G290">
        <v>5.16</v>
      </c>
      <c r="H290">
        <v>750403.45</v>
      </c>
      <c r="I290">
        <v>3.140402291</v>
      </c>
      <c r="J290">
        <v>44434.116099999999</v>
      </c>
      <c r="K290">
        <v>12.97</v>
      </c>
      <c r="L290">
        <v>178186.21</v>
      </c>
      <c r="M290">
        <v>11.93</v>
      </c>
      <c r="N290">
        <v>3369184.06</v>
      </c>
    </row>
    <row r="291" spans="3:14" x14ac:dyDescent="0.2">
      <c r="C291">
        <v>2014</v>
      </c>
      <c r="D291">
        <v>7</v>
      </c>
      <c r="E291">
        <v>6.52</v>
      </c>
      <c r="F291">
        <v>710111.73</v>
      </c>
      <c r="G291">
        <v>5.08</v>
      </c>
      <c r="H291">
        <v>837080.46</v>
      </c>
      <c r="I291">
        <v>5.0846945300000002</v>
      </c>
      <c r="J291">
        <v>515947.21860000002</v>
      </c>
      <c r="K291">
        <v>12.08</v>
      </c>
      <c r="L291">
        <v>3493171.89</v>
      </c>
      <c r="M291">
        <v>12.04</v>
      </c>
      <c r="N291">
        <v>2186949.9700000002</v>
      </c>
    </row>
    <row r="292" spans="3:14" x14ac:dyDescent="0.2">
      <c r="C292">
        <v>2014</v>
      </c>
      <c r="D292">
        <v>8</v>
      </c>
      <c r="E292">
        <v>6.45</v>
      </c>
      <c r="F292">
        <v>365495.86</v>
      </c>
      <c r="G292">
        <v>4.12</v>
      </c>
      <c r="H292">
        <v>1118428.01</v>
      </c>
      <c r="I292">
        <v>4.636670509</v>
      </c>
      <c r="J292">
        <v>426825.45510000002</v>
      </c>
      <c r="K292">
        <v>9.18</v>
      </c>
      <c r="L292">
        <v>75550.12</v>
      </c>
      <c r="M292">
        <v>12.22</v>
      </c>
      <c r="N292">
        <v>1698154.85</v>
      </c>
    </row>
    <row r="293" spans="3:14" x14ac:dyDescent="0.2">
      <c r="C293">
        <v>2014</v>
      </c>
      <c r="D293">
        <v>9</v>
      </c>
      <c r="E293">
        <v>6.6</v>
      </c>
      <c r="F293">
        <v>507101.1</v>
      </c>
      <c r="G293">
        <v>6.28</v>
      </c>
      <c r="H293">
        <v>666261.75</v>
      </c>
      <c r="I293">
        <v>4.0737657949999999</v>
      </c>
      <c r="J293">
        <v>254014.11180000001</v>
      </c>
      <c r="K293">
        <v>13.06</v>
      </c>
      <c r="L293">
        <v>2300468.06</v>
      </c>
      <c r="M293">
        <v>12.61</v>
      </c>
      <c r="N293">
        <v>2399548.09</v>
      </c>
    </row>
    <row r="294" spans="3:14" x14ac:dyDescent="0.2">
      <c r="C294">
        <v>2014</v>
      </c>
      <c r="D294">
        <v>10</v>
      </c>
      <c r="E294">
        <v>6.64</v>
      </c>
      <c r="F294">
        <v>475422.85</v>
      </c>
      <c r="G294">
        <v>5.73</v>
      </c>
      <c r="H294">
        <v>981534.07</v>
      </c>
      <c r="I294">
        <v>4.8009746140000003</v>
      </c>
      <c r="J294">
        <v>159010.4221</v>
      </c>
      <c r="K294">
        <v>12.82</v>
      </c>
      <c r="L294">
        <v>3091631.22</v>
      </c>
      <c r="M294">
        <v>12.25</v>
      </c>
      <c r="N294">
        <v>2578585.2799999998</v>
      </c>
    </row>
    <row r="295" spans="3:14" x14ac:dyDescent="0.2">
      <c r="C295">
        <v>2014</v>
      </c>
      <c r="D295">
        <v>11</v>
      </c>
      <c r="E295">
        <v>6.61</v>
      </c>
      <c r="F295">
        <v>348200.59</v>
      </c>
      <c r="G295">
        <v>6.65</v>
      </c>
      <c r="H295">
        <v>566026.30000000005</v>
      </c>
      <c r="I295">
        <v>3.9798082720000001</v>
      </c>
      <c r="J295">
        <v>31415.834999999999</v>
      </c>
      <c r="K295">
        <v>14.57</v>
      </c>
      <c r="L295">
        <v>54989.84</v>
      </c>
      <c r="M295">
        <v>12.79</v>
      </c>
      <c r="N295">
        <v>1650640.88</v>
      </c>
    </row>
    <row r="296" spans="3:14" x14ac:dyDescent="0.2">
      <c r="C296">
        <v>2014</v>
      </c>
      <c r="D296">
        <v>12</v>
      </c>
      <c r="E296">
        <v>7.16</v>
      </c>
      <c r="F296">
        <v>67163.88</v>
      </c>
      <c r="G296">
        <v>7.37</v>
      </c>
      <c r="H296">
        <v>312430.55</v>
      </c>
      <c r="I296">
        <v>6.071372233</v>
      </c>
      <c r="J296">
        <v>39658.909180000002</v>
      </c>
      <c r="K296">
        <v>12.88</v>
      </c>
      <c r="L296">
        <v>2509708.54</v>
      </c>
      <c r="M296">
        <v>12.09</v>
      </c>
      <c r="N296">
        <v>2215565.94</v>
      </c>
    </row>
    <row r="297" spans="3:14" x14ac:dyDescent="0.2">
      <c r="C297">
        <v>2015</v>
      </c>
      <c r="D297">
        <v>1</v>
      </c>
      <c r="E297">
        <v>10.63</v>
      </c>
      <c r="F297">
        <v>51729.31</v>
      </c>
      <c r="G297">
        <v>6.78</v>
      </c>
      <c r="H297">
        <v>192640.08</v>
      </c>
      <c r="I297">
        <v>13.015576380000001</v>
      </c>
      <c r="J297">
        <v>9645.2124999999996</v>
      </c>
      <c r="K297">
        <v>14.77</v>
      </c>
      <c r="L297">
        <v>49859.69</v>
      </c>
      <c r="M297">
        <v>11.24</v>
      </c>
      <c r="N297">
        <v>1164934.44</v>
      </c>
    </row>
    <row r="298" spans="3:14" x14ac:dyDescent="0.2">
      <c r="C298">
        <v>2015</v>
      </c>
      <c r="D298">
        <v>2</v>
      </c>
      <c r="E298">
        <v>5.89</v>
      </c>
      <c r="F298">
        <v>15117.11</v>
      </c>
      <c r="G298">
        <v>5.62</v>
      </c>
      <c r="H298">
        <v>117184.61</v>
      </c>
      <c r="I298">
        <v>5.8224835280000002</v>
      </c>
      <c r="J298">
        <v>485.01639999999998</v>
      </c>
      <c r="K298">
        <v>15.52</v>
      </c>
      <c r="L298">
        <v>67386.41</v>
      </c>
      <c r="M298">
        <v>11.68</v>
      </c>
      <c r="N298">
        <v>347858.17</v>
      </c>
    </row>
    <row r="299" spans="3:14" x14ac:dyDescent="0.2">
      <c r="C299">
        <v>2015</v>
      </c>
      <c r="D299">
        <v>3</v>
      </c>
      <c r="E299">
        <v>5.55</v>
      </c>
      <c r="F299">
        <v>62655.43</v>
      </c>
      <c r="G299">
        <v>6.69</v>
      </c>
      <c r="H299">
        <v>96725.69</v>
      </c>
      <c r="I299">
        <v>9.7714146720000006</v>
      </c>
      <c r="J299">
        <v>5765.0812999999998</v>
      </c>
      <c r="K299">
        <v>13.61</v>
      </c>
      <c r="L299">
        <v>3160186.08</v>
      </c>
      <c r="M299">
        <v>13.09</v>
      </c>
      <c r="N299">
        <v>191321.33</v>
      </c>
    </row>
    <row r="300" spans="3:14" x14ac:dyDescent="0.2">
      <c r="C300">
        <v>2015</v>
      </c>
      <c r="D300">
        <v>4</v>
      </c>
      <c r="E300">
        <v>6.57</v>
      </c>
      <c r="F300">
        <v>35243.129999999997</v>
      </c>
      <c r="G300">
        <v>5.4</v>
      </c>
      <c r="H300">
        <v>107451.19</v>
      </c>
      <c r="I300">
        <v>6.0198205089999997</v>
      </c>
      <c r="J300">
        <v>39760.3217</v>
      </c>
      <c r="K300">
        <v>15.51</v>
      </c>
      <c r="L300">
        <v>47681.52</v>
      </c>
      <c r="M300">
        <v>10.31</v>
      </c>
      <c r="N300">
        <v>214610.94</v>
      </c>
    </row>
    <row r="301" spans="3:14" x14ac:dyDescent="0.2">
      <c r="C301">
        <v>2015</v>
      </c>
      <c r="D301">
        <v>5</v>
      </c>
      <c r="E301">
        <v>0</v>
      </c>
      <c r="F301">
        <v>0</v>
      </c>
      <c r="G301">
        <v>4.67</v>
      </c>
      <c r="H301">
        <v>167811.6</v>
      </c>
      <c r="K301">
        <v>14.14</v>
      </c>
      <c r="L301">
        <v>2163124.64</v>
      </c>
      <c r="M301">
        <v>10.97</v>
      </c>
      <c r="N301">
        <v>219544.88</v>
      </c>
    </row>
    <row r="302" spans="3:14" x14ac:dyDescent="0.2">
      <c r="C302">
        <v>2015</v>
      </c>
      <c r="D302">
        <v>6</v>
      </c>
      <c r="E302">
        <v>6.1</v>
      </c>
      <c r="F302">
        <v>315336.25</v>
      </c>
      <c r="G302">
        <v>6.65</v>
      </c>
      <c r="H302">
        <v>629329.88</v>
      </c>
      <c r="I302">
        <v>4.4683555679999998</v>
      </c>
      <c r="J302">
        <v>687887.73699999996</v>
      </c>
      <c r="K302">
        <v>13.94</v>
      </c>
      <c r="L302">
        <v>3145600.32</v>
      </c>
      <c r="M302">
        <v>12.81</v>
      </c>
      <c r="N302">
        <v>3739833.59</v>
      </c>
    </row>
    <row r="303" spans="3:14" x14ac:dyDescent="0.2">
      <c r="C303">
        <v>2015</v>
      </c>
      <c r="D303">
        <v>7</v>
      </c>
      <c r="E303">
        <v>6.51</v>
      </c>
      <c r="F303">
        <v>599230.15</v>
      </c>
      <c r="G303">
        <v>6.66</v>
      </c>
      <c r="H303">
        <v>1451751.79</v>
      </c>
      <c r="I303">
        <v>4.3567900640000001</v>
      </c>
      <c r="J303">
        <v>540786.67209999997</v>
      </c>
      <c r="K303">
        <v>16.3</v>
      </c>
      <c r="L303">
        <v>16382.53</v>
      </c>
      <c r="M303">
        <v>15.28</v>
      </c>
      <c r="N303">
        <v>1873900.54</v>
      </c>
    </row>
    <row r="304" spans="3:14" x14ac:dyDescent="0.2">
      <c r="C304">
        <v>2015</v>
      </c>
      <c r="D304">
        <v>8</v>
      </c>
      <c r="E304">
        <v>6.37</v>
      </c>
      <c r="F304">
        <v>677681.71</v>
      </c>
      <c r="G304">
        <v>6.96</v>
      </c>
      <c r="H304">
        <v>1130782.73</v>
      </c>
      <c r="I304">
        <v>4.8281763340000001</v>
      </c>
      <c r="J304">
        <v>186078.74650000001</v>
      </c>
      <c r="K304">
        <v>14.24</v>
      </c>
      <c r="L304">
        <v>1327130.53</v>
      </c>
      <c r="M304">
        <v>13.96</v>
      </c>
      <c r="N304">
        <v>2022635.23</v>
      </c>
    </row>
    <row r="305" spans="3:14" x14ac:dyDescent="0.2">
      <c r="C305">
        <v>2015</v>
      </c>
      <c r="D305">
        <v>9</v>
      </c>
      <c r="E305">
        <v>7.41</v>
      </c>
      <c r="F305">
        <v>604788</v>
      </c>
      <c r="G305">
        <v>7.21</v>
      </c>
      <c r="H305">
        <v>743582.34</v>
      </c>
      <c r="I305">
        <v>5.3242475249999996</v>
      </c>
      <c r="J305">
        <v>69800.473819999999</v>
      </c>
      <c r="K305">
        <v>7.38</v>
      </c>
      <c r="L305">
        <v>17158.560000000001</v>
      </c>
      <c r="M305">
        <v>14.51</v>
      </c>
      <c r="N305">
        <v>2405174.2799999998</v>
      </c>
    </row>
    <row r="306" spans="3:14" x14ac:dyDescent="0.2">
      <c r="C306">
        <v>2015</v>
      </c>
      <c r="D306">
        <v>10</v>
      </c>
      <c r="E306">
        <v>6.98</v>
      </c>
      <c r="F306">
        <v>572183.81000000006</v>
      </c>
      <c r="G306">
        <v>7.59</v>
      </c>
      <c r="H306">
        <v>891830.1</v>
      </c>
      <c r="I306">
        <v>1.7904521410000001</v>
      </c>
      <c r="J306">
        <v>35326.830880000001</v>
      </c>
      <c r="K306">
        <v>12.39</v>
      </c>
      <c r="L306">
        <v>389236.68</v>
      </c>
      <c r="M306">
        <v>14.52</v>
      </c>
      <c r="N306">
        <v>2099633.79</v>
      </c>
    </row>
    <row r="307" spans="3:14" x14ac:dyDescent="0.2">
      <c r="C307">
        <v>2015</v>
      </c>
      <c r="D307">
        <v>11</v>
      </c>
      <c r="E307">
        <v>7.24</v>
      </c>
      <c r="F307">
        <v>430642.52</v>
      </c>
      <c r="G307">
        <v>6.26</v>
      </c>
      <c r="H307">
        <v>914440.73</v>
      </c>
      <c r="I307">
        <v>4.9368154110000004</v>
      </c>
      <c r="J307">
        <v>197337.7408</v>
      </c>
      <c r="K307">
        <v>14.37</v>
      </c>
      <c r="L307">
        <v>12718.45</v>
      </c>
      <c r="M307">
        <v>15.17</v>
      </c>
      <c r="N307">
        <v>2041919.04</v>
      </c>
    </row>
    <row r="308" spans="3:14" x14ac:dyDescent="0.2">
      <c r="C308">
        <v>2015</v>
      </c>
      <c r="D308">
        <v>12</v>
      </c>
      <c r="E308">
        <v>13.4</v>
      </c>
      <c r="F308">
        <v>19848.23</v>
      </c>
      <c r="G308">
        <v>4.66</v>
      </c>
      <c r="H308">
        <v>592627.30000000005</v>
      </c>
      <c r="I308">
        <v>7.5458557629999996</v>
      </c>
      <c r="J308">
        <v>151503.69099999999</v>
      </c>
      <c r="K308">
        <v>14.08</v>
      </c>
      <c r="L308">
        <v>304698.33</v>
      </c>
      <c r="M308">
        <v>15.02</v>
      </c>
      <c r="N308">
        <v>2382953.92</v>
      </c>
    </row>
    <row r="309" spans="3:14" x14ac:dyDescent="0.2">
      <c r="C309">
        <v>2016</v>
      </c>
      <c r="D309">
        <v>1</v>
      </c>
      <c r="E309">
        <v>7.21</v>
      </c>
      <c r="F309">
        <v>237517.42</v>
      </c>
      <c r="G309">
        <v>7.19</v>
      </c>
      <c r="H309">
        <v>237499.78</v>
      </c>
      <c r="I309">
        <v>9.0349435880000009</v>
      </c>
      <c r="J309">
        <v>26276.86578</v>
      </c>
      <c r="K309">
        <v>9.7899999999999991</v>
      </c>
      <c r="L309">
        <v>194831.09</v>
      </c>
      <c r="M309">
        <v>14.49</v>
      </c>
      <c r="N309">
        <v>1453730.84</v>
      </c>
    </row>
    <row r="310" spans="3:14" x14ac:dyDescent="0.2">
      <c r="C310">
        <v>2016</v>
      </c>
      <c r="D310">
        <v>2</v>
      </c>
      <c r="E310">
        <v>3.12</v>
      </c>
      <c r="F310">
        <v>20326.64</v>
      </c>
      <c r="G310">
        <v>6.24</v>
      </c>
      <c r="H310">
        <v>113820.35</v>
      </c>
      <c r="I310">
        <v>5.8332198750000002</v>
      </c>
      <c r="J310">
        <v>42496.255120000002</v>
      </c>
      <c r="K310">
        <v>14.72</v>
      </c>
      <c r="L310">
        <v>54264.52</v>
      </c>
      <c r="M310">
        <v>11.76</v>
      </c>
      <c r="N310">
        <v>600679.57999999996</v>
      </c>
    </row>
    <row r="311" spans="3:14" x14ac:dyDescent="0.2">
      <c r="C311">
        <v>2016</v>
      </c>
      <c r="D311">
        <v>3</v>
      </c>
      <c r="E311">
        <v>0</v>
      </c>
      <c r="F311">
        <v>0</v>
      </c>
      <c r="G311">
        <v>10.09</v>
      </c>
      <c r="H311">
        <v>202073.67</v>
      </c>
      <c r="I311">
        <v>7.1815877370000001</v>
      </c>
      <c r="J311">
        <v>10000.15632</v>
      </c>
      <c r="K311">
        <v>11.5</v>
      </c>
      <c r="L311">
        <v>2620464.2400000002</v>
      </c>
      <c r="M311">
        <v>13.44</v>
      </c>
      <c r="N311">
        <v>319493.53000000003</v>
      </c>
    </row>
    <row r="312" spans="3:14" x14ac:dyDescent="0.2">
      <c r="C312">
        <v>2016</v>
      </c>
      <c r="D312">
        <v>4</v>
      </c>
      <c r="E312">
        <v>0</v>
      </c>
      <c r="F312">
        <v>0</v>
      </c>
      <c r="G312">
        <v>4.41</v>
      </c>
      <c r="H312">
        <v>182304.8</v>
      </c>
      <c r="K312">
        <v>15.53</v>
      </c>
      <c r="L312">
        <v>53010.09</v>
      </c>
      <c r="M312">
        <v>13.65</v>
      </c>
      <c r="N312">
        <v>256985.94</v>
      </c>
    </row>
    <row r="313" spans="3:14" x14ac:dyDescent="0.2">
      <c r="C313">
        <v>2016</v>
      </c>
      <c r="D313">
        <v>5</v>
      </c>
      <c r="E313">
        <v>7.24</v>
      </c>
      <c r="F313">
        <v>36431.42</v>
      </c>
      <c r="G313">
        <v>5.98</v>
      </c>
      <c r="H313">
        <v>602510.63</v>
      </c>
      <c r="I313">
        <v>5.8062741219999996</v>
      </c>
      <c r="J313">
        <v>218336.7463</v>
      </c>
      <c r="K313">
        <v>12.26</v>
      </c>
      <c r="L313">
        <v>4061503.08</v>
      </c>
      <c r="M313">
        <v>15.3</v>
      </c>
      <c r="N313">
        <v>2250147.61</v>
      </c>
    </row>
    <row r="314" spans="3:14" x14ac:dyDescent="0.2">
      <c r="C314">
        <v>2016</v>
      </c>
      <c r="D314">
        <v>6</v>
      </c>
      <c r="E314">
        <v>6.71</v>
      </c>
      <c r="F314">
        <v>1154610.31</v>
      </c>
      <c r="G314">
        <v>6.4</v>
      </c>
      <c r="H314">
        <v>1611479.04</v>
      </c>
      <c r="I314">
        <v>5.6824251449999998</v>
      </c>
      <c r="J314">
        <v>606731.26560000004</v>
      </c>
      <c r="K314">
        <v>16.22</v>
      </c>
      <c r="L314">
        <v>70519.179999999993</v>
      </c>
      <c r="M314">
        <v>15.23</v>
      </c>
      <c r="N314">
        <v>4000781.23</v>
      </c>
    </row>
    <row r="315" spans="3:14" x14ac:dyDescent="0.2">
      <c r="C315">
        <v>2016</v>
      </c>
      <c r="D315">
        <v>7</v>
      </c>
      <c r="E315">
        <v>7.78</v>
      </c>
      <c r="F315">
        <v>771898.53</v>
      </c>
      <c r="G315">
        <v>7.15</v>
      </c>
      <c r="H315">
        <v>1638794.33</v>
      </c>
      <c r="I315">
        <v>5.7121091650000002</v>
      </c>
      <c r="J315">
        <v>74838.03052</v>
      </c>
      <c r="K315">
        <v>13.95</v>
      </c>
      <c r="L315">
        <v>2116338.2000000002</v>
      </c>
      <c r="M315">
        <v>15.14</v>
      </c>
      <c r="N315">
        <v>2698196.94</v>
      </c>
    </row>
    <row r="316" spans="3:14" x14ac:dyDescent="0.2">
      <c r="C316">
        <v>2016</v>
      </c>
      <c r="D316">
        <v>8</v>
      </c>
      <c r="E316">
        <v>8.39</v>
      </c>
      <c r="F316">
        <v>698213.37</v>
      </c>
      <c r="G316">
        <v>8.59</v>
      </c>
      <c r="H316">
        <v>693647.6</v>
      </c>
      <c r="I316">
        <v>7.4181913909999997</v>
      </c>
      <c r="J316">
        <v>155110.44930000001</v>
      </c>
      <c r="K316">
        <v>14.85</v>
      </c>
      <c r="L316">
        <v>84540.56</v>
      </c>
      <c r="M316">
        <v>14.99</v>
      </c>
      <c r="N316">
        <v>2302348.6</v>
      </c>
    </row>
    <row r="317" spans="3:14" x14ac:dyDescent="0.2">
      <c r="C317">
        <v>2016</v>
      </c>
      <c r="D317">
        <v>9</v>
      </c>
      <c r="E317">
        <v>8.25</v>
      </c>
      <c r="F317">
        <v>527403.48</v>
      </c>
      <c r="G317">
        <v>7.18</v>
      </c>
      <c r="H317">
        <v>868247.24</v>
      </c>
      <c r="I317">
        <v>8.1467481339999992</v>
      </c>
      <c r="J317">
        <v>10934.915199999999</v>
      </c>
      <c r="K317">
        <v>13.2</v>
      </c>
      <c r="L317">
        <v>4488690.0999999996</v>
      </c>
      <c r="M317">
        <v>13.91</v>
      </c>
      <c r="N317">
        <v>1965813.36</v>
      </c>
    </row>
    <row r="318" spans="3:14" x14ac:dyDescent="0.2">
      <c r="C318">
        <v>2016</v>
      </c>
      <c r="D318">
        <v>10</v>
      </c>
      <c r="E318">
        <v>7.59</v>
      </c>
      <c r="F318">
        <v>414731.74</v>
      </c>
      <c r="G318">
        <v>7.04</v>
      </c>
      <c r="H318">
        <v>898042.73</v>
      </c>
      <c r="I318">
        <v>6.0500550559999997</v>
      </c>
      <c r="J318">
        <v>47760.88768</v>
      </c>
      <c r="K318">
        <v>14.66</v>
      </c>
      <c r="L318">
        <v>60596.19</v>
      </c>
      <c r="M318">
        <v>14.75</v>
      </c>
      <c r="N318">
        <v>2126005.46</v>
      </c>
    </row>
    <row r="319" spans="3:14" x14ac:dyDescent="0.2">
      <c r="C319">
        <v>2016</v>
      </c>
      <c r="D319">
        <v>11</v>
      </c>
      <c r="E319">
        <v>7.22</v>
      </c>
      <c r="F319">
        <v>266572.15999999997</v>
      </c>
      <c r="G319">
        <v>6.35</v>
      </c>
      <c r="H319">
        <v>543547.94999999995</v>
      </c>
      <c r="I319">
        <v>6.766403425</v>
      </c>
      <c r="J319">
        <v>384873.74109999998</v>
      </c>
      <c r="K319">
        <v>13.77</v>
      </c>
      <c r="L319">
        <v>3550163.52</v>
      </c>
      <c r="M319">
        <v>14.44</v>
      </c>
      <c r="N319">
        <v>1957662.88</v>
      </c>
    </row>
    <row r="320" spans="3:14" x14ac:dyDescent="0.2">
      <c r="C320">
        <v>2016</v>
      </c>
      <c r="D320">
        <v>12</v>
      </c>
      <c r="E320">
        <v>7.49</v>
      </c>
      <c r="F320">
        <v>11960.09</v>
      </c>
      <c r="G320">
        <v>7.09</v>
      </c>
      <c r="H320">
        <v>309458.71999999997</v>
      </c>
      <c r="I320">
        <v>5.6576665689999999</v>
      </c>
      <c r="J320">
        <v>145694.51730000001</v>
      </c>
      <c r="K320">
        <v>12.33</v>
      </c>
      <c r="L320">
        <v>268.95999999999998</v>
      </c>
      <c r="M320">
        <v>14.47</v>
      </c>
      <c r="N320">
        <v>1916039.65</v>
      </c>
    </row>
    <row r="321" spans="3:14" x14ac:dyDescent="0.2">
      <c r="C321">
        <v>2017</v>
      </c>
      <c r="D321">
        <v>1</v>
      </c>
      <c r="E321">
        <v>6.65</v>
      </c>
      <c r="F321">
        <v>35135.1</v>
      </c>
      <c r="G321">
        <v>10.66</v>
      </c>
      <c r="H321">
        <v>96544.91</v>
      </c>
      <c r="I321">
        <v>5.2512901259999998</v>
      </c>
      <c r="J321">
        <v>1444.0261</v>
      </c>
      <c r="K321">
        <v>12.65</v>
      </c>
      <c r="L321">
        <v>3022353.24</v>
      </c>
      <c r="M321">
        <v>4.4400000000000004</v>
      </c>
      <c r="N321">
        <v>229302.53</v>
      </c>
    </row>
    <row r="322" spans="3:14" x14ac:dyDescent="0.2">
      <c r="C322">
        <v>2017</v>
      </c>
      <c r="D322">
        <v>2</v>
      </c>
      <c r="E322">
        <v>0</v>
      </c>
      <c r="F322">
        <v>0</v>
      </c>
      <c r="G322">
        <v>8.39</v>
      </c>
      <c r="H322">
        <v>52915.4</v>
      </c>
      <c r="I322">
        <v>6.4803732370000002</v>
      </c>
      <c r="J322">
        <v>53285.665399999998</v>
      </c>
      <c r="K322">
        <v>12.08</v>
      </c>
      <c r="L322">
        <v>2768786.67</v>
      </c>
      <c r="M322">
        <v>16.7</v>
      </c>
      <c r="N322">
        <v>488180.03</v>
      </c>
    </row>
    <row r="323" spans="3:14" x14ac:dyDescent="0.2">
      <c r="C323">
        <v>2017</v>
      </c>
      <c r="D323">
        <v>3</v>
      </c>
      <c r="E323">
        <v>3.29</v>
      </c>
      <c r="F323">
        <v>26305.58</v>
      </c>
      <c r="G323">
        <v>8.4499999999999993</v>
      </c>
      <c r="H323">
        <v>111767.84</v>
      </c>
      <c r="I323">
        <v>8.9778292240000006</v>
      </c>
      <c r="J323">
        <v>8518.6516800000009</v>
      </c>
      <c r="K323">
        <v>2.0499999999999998</v>
      </c>
      <c r="L323">
        <v>2949.78</v>
      </c>
      <c r="M323">
        <v>11.81</v>
      </c>
      <c r="N323">
        <v>804584.89</v>
      </c>
    </row>
    <row r="324" spans="3:14" x14ac:dyDescent="0.2">
      <c r="C324">
        <v>2017</v>
      </c>
      <c r="D324">
        <v>4</v>
      </c>
      <c r="E324">
        <v>0</v>
      </c>
      <c r="F324">
        <v>0</v>
      </c>
      <c r="G324">
        <v>9.25</v>
      </c>
      <c r="H324">
        <v>25293.66</v>
      </c>
      <c r="I324">
        <v>6.8258726410000001</v>
      </c>
      <c r="J324">
        <v>38036.308859999997</v>
      </c>
      <c r="K324">
        <v>12.45</v>
      </c>
      <c r="L324">
        <v>3225348.04</v>
      </c>
      <c r="M324">
        <v>3.88</v>
      </c>
      <c r="N324">
        <v>87102.33</v>
      </c>
    </row>
    <row r="325" spans="3:14" x14ac:dyDescent="0.2">
      <c r="C325">
        <v>2017</v>
      </c>
      <c r="D325">
        <v>5</v>
      </c>
      <c r="E325">
        <v>7.45</v>
      </c>
      <c r="F325">
        <v>112612.22</v>
      </c>
      <c r="G325">
        <v>6.32</v>
      </c>
      <c r="H325">
        <v>390392.69</v>
      </c>
      <c r="I325">
        <v>6.3486331639999998</v>
      </c>
      <c r="J325">
        <v>280048.4694</v>
      </c>
      <c r="K325">
        <v>13.92</v>
      </c>
      <c r="L325">
        <v>1386642.05</v>
      </c>
      <c r="M325">
        <v>11.93</v>
      </c>
      <c r="N325">
        <v>32357.21</v>
      </c>
    </row>
    <row r="326" spans="3:14" x14ac:dyDescent="0.2">
      <c r="C326">
        <v>2017</v>
      </c>
      <c r="D326">
        <v>6</v>
      </c>
      <c r="E326">
        <v>7.8</v>
      </c>
      <c r="F326">
        <v>648505.71</v>
      </c>
      <c r="G326">
        <v>7.12</v>
      </c>
      <c r="H326">
        <v>1276107.1599999999</v>
      </c>
      <c r="I326">
        <v>6.4495095410000003</v>
      </c>
      <c r="J326">
        <v>518714.01669999998</v>
      </c>
      <c r="K326">
        <v>11.91</v>
      </c>
      <c r="L326">
        <v>437489.2</v>
      </c>
      <c r="M326">
        <v>17.05</v>
      </c>
      <c r="N326">
        <v>239053.56</v>
      </c>
    </row>
    <row r="327" spans="3:14" x14ac:dyDescent="0.2">
      <c r="C327">
        <v>2017</v>
      </c>
      <c r="D327">
        <v>7</v>
      </c>
      <c r="E327">
        <v>7.74</v>
      </c>
      <c r="F327">
        <v>808971.5</v>
      </c>
      <c r="G327">
        <v>7.83</v>
      </c>
      <c r="H327">
        <v>1661497.56</v>
      </c>
      <c r="I327">
        <v>7.933868769</v>
      </c>
      <c r="J327">
        <v>99946.447700000004</v>
      </c>
      <c r="K327">
        <v>12.78</v>
      </c>
      <c r="L327">
        <v>201303.85</v>
      </c>
      <c r="M327">
        <v>3.91</v>
      </c>
      <c r="N327">
        <v>72721.600000000006</v>
      </c>
    </row>
    <row r="328" spans="3:14" x14ac:dyDescent="0.2">
      <c r="C328">
        <v>2017</v>
      </c>
      <c r="D328">
        <v>8</v>
      </c>
      <c r="E328">
        <v>8.25</v>
      </c>
      <c r="F328">
        <v>576520.31000000006</v>
      </c>
      <c r="G328">
        <v>6.11</v>
      </c>
      <c r="H328">
        <v>820115.88</v>
      </c>
      <c r="I328">
        <v>6.1616412479999996</v>
      </c>
      <c r="J328">
        <v>544838.76370000001</v>
      </c>
      <c r="K328">
        <v>16.75</v>
      </c>
      <c r="L328">
        <v>299.83</v>
      </c>
      <c r="M328">
        <v>13.79</v>
      </c>
      <c r="N328">
        <v>344132.36</v>
      </c>
    </row>
    <row r="329" spans="3:14" x14ac:dyDescent="0.2">
      <c r="C329">
        <v>2017</v>
      </c>
      <c r="D329">
        <v>9</v>
      </c>
      <c r="E329">
        <v>9.15</v>
      </c>
      <c r="F329">
        <v>281713.52</v>
      </c>
      <c r="G329">
        <v>8.2799999999999994</v>
      </c>
      <c r="H329">
        <v>819057.66</v>
      </c>
      <c r="I329">
        <v>6.3536562679999999</v>
      </c>
      <c r="J329">
        <v>473545.76209999999</v>
      </c>
      <c r="K329">
        <v>13.88</v>
      </c>
      <c r="L329">
        <v>170359.81</v>
      </c>
      <c r="M329">
        <v>10.5</v>
      </c>
      <c r="N329">
        <v>47913.01</v>
      </c>
    </row>
    <row r="330" spans="3:14" x14ac:dyDescent="0.2">
      <c r="C330">
        <v>2017</v>
      </c>
      <c r="D330">
        <v>10</v>
      </c>
      <c r="E330">
        <v>8.4499999999999993</v>
      </c>
      <c r="F330">
        <v>205254.94</v>
      </c>
      <c r="G330">
        <v>7.06</v>
      </c>
      <c r="H330">
        <v>793713.29</v>
      </c>
      <c r="I330">
        <v>6.3823546779999996</v>
      </c>
      <c r="J330">
        <v>309447.07709999999</v>
      </c>
      <c r="K330">
        <v>11.95</v>
      </c>
      <c r="L330">
        <v>3021286.21</v>
      </c>
      <c r="M330">
        <v>16.88</v>
      </c>
      <c r="N330">
        <v>185452.63</v>
      </c>
    </row>
    <row r="331" spans="3:14" x14ac:dyDescent="0.2">
      <c r="C331">
        <v>2017</v>
      </c>
      <c r="D331">
        <v>11</v>
      </c>
      <c r="E331">
        <v>5.22</v>
      </c>
      <c r="F331">
        <v>61037.23</v>
      </c>
      <c r="G331">
        <v>7.52</v>
      </c>
      <c r="H331">
        <v>476362.02</v>
      </c>
      <c r="I331">
        <v>6.5855175859999999</v>
      </c>
      <c r="J331">
        <v>218279.42619999999</v>
      </c>
      <c r="K331">
        <v>12.61</v>
      </c>
      <c r="L331">
        <v>114541.03</v>
      </c>
      <c r="M331">
        <v>3.96</v>
      </c>
      <c r="N331">
        <v>75801.45</v>
      </c>
    </row>
    <row r="332" spans="3:14" x14ac:dyDescent="0.2">
      <c r="C332">
        <v>2017</v>
      </c>
      <c r="D332">
        <v>12</v>
      </c>
      <c r="E332">
        <v>7.97</v>
      </c>
      <c r="F332">
        <v>10747.54</v>
      </c>
      <c r="G332">
        <v>9.4</v>
      </c>
      <c r="H332">
        <v>354735.09</v>
      </c>
      <c r="I332">
        <v>5.9534841519999997</v>
      </c>
      <c r="J332">
        <v>129508.1973</v>
      </c>
      <c r="K332">
        <v>12.08</v>
      </c>
      <c r="L332">
        <v>4955963.71</v>
      </c>
      <c r="M332">
        <v>12.72</v>
      </c>
      <c r="N332">
        <v>309167.09000000003</v>
      </c>
    </row>
    <row r="333" spans="3:14" x14ac:dyDescent="0.2">
      <c r="C333">
        <v>2018</v>
      </c>
      <c r="D333">
        <v>1</v>
      </c>
      <c r="E333">
        <v>7.93</v>
      </c>
      <c r="F333">
        <v>18518.849999999999</v>
      </c>
      <c r="G333">
        <v>12.75</v>
      </c>
      <c r="H333">
        <v>72318.289999999994</v>
      </c>
      <c r="I333">
        <v>6.4218774429999996</v>
      </c>
      <c r="J333">
        <v>176565.8112</v>
      </c>
      <c r="K333">
        <v>14.86</v>
      </c>
      <c r="L333">
        <v>116573.69</v>
      </c>
      <c r="M333">
        <v>9.76</v>
      </c>
      <c r="N333">
        <v>40366.589999999997</v>
      </c>
    </row>
    <row r="334" spans="3:14" x14ac:dyDescent="0.2">
      <c r="C334">
        <v>2018</v>
      </c>
      <c r="D334">
        <v>2</v>
      </c>
      <c r="E334">
        <v>0</v>
      </c>
      <c r="F334">
        <v>0</v>
      </c>
      <c r="G334">
        <v>6</v>
      </c>
      <c r="H334">
        <v>205340.92</v>
      </c>
      <c r="I334">
        <v>5.1422419359999996</v>
      </c>
      <c r="J334">
        <v>97878.514139999999</v>
      </c>
      <c r="K334">
        <v>12.78</v>
      </c>
      <c r="L334">
        <v>120429.57</v>
      </c>
      <c r="M334">
        <v>16.21</v>
      </c>
      <c r="N334">
        <v>82472.63</v>
      </c>
    </row>
    <row r="335" spans="3:14" x14ac:dyDescent="0.2">
      <c r="C335">
        <v>2018</v>
      </c>
      <c r="D335">
        <v>3</v>
      </c>
      <c r="E335">
        <v>7.71</v>
      </c>
      <c r="F335">
        <v>19336.759999999998</v>
      </c>
      <c r="G335">
        <v>10.67</v>
      </c>
      <c r="H335">
        <v>76158.75</v>
      </c>
      <c r="I335">
        <v>5.8966599530000003</v>
      </c>
      <c r="J335">
        <v>104450.48639999999</v>
      </c>
      <c r="K335">
        <v>12.18</v>
      </c>
      <c r="L335">
        <v>3716147.16</v>
      </c>
      <c r="M335">
        <v>1.2</v>
      </c>
      <c r="N335">
        <v>24100.91</v>
      </c>
    </row>
    <row r="336" spans="3:14" x14ac:dyDescent="0.2">
      <c r="C336">
        <v>2018</v>
      </c>
      <c r="D336">
        <v>4</v>
      </c>
      <c r="E336">
        <v>0</v>
      </c>
      <c r="F336">
        <v>0</v>
      </c>
      <c r="G336">
        <v>5.77</v>
      </c>
      <c r="H336">
        <v>115925.77</v>
      </c>
      <c r="I336">
        <v>5.6768245449999997</v>
      </c>
      <c r="J336">
        <v>280189.565</v>
      </c>
      <c r="K336">
        <v>8.4600000000000009</v>
      </c>
      <c r="L336">
        <v>110061.24</v>
      </c>
      <c r="M336">
        <v>11.97</v>
      </c>
      <c r="N336">
        <v>146940.13</v>
      </c>
    </row>
    <row r="337" spans="3:14" x14ac:dyDescent="0.2">
      <c r="C337">
        <v>2018</v>
      </c>
      <c r="D337">
        <v>5</v>
      </c>
      <c r="E337">
        <v>7.56</v>
      </c>
      <c r="F337">
        <v>76877.460000000006</v>
      </c>
      <c r="G337">
        <v>5.76</v>
      </c>
      <c r="H337">
        <v>314950.44</v>
      </c>
      <c r="I337">
        <v>5.9802480530000004</v>
      </c>
      <c r="J337">
        <v>37000.137459999998</v>
      </c>
      <c r="K337">
        <v>10.199999999999999</v>
      </c>
      <c r="L337">
        <v>4485019.4000000004</v>
      </c>
      <c r="M337">
        <v>5.89</v>
      </c>
      <c r="N337">
        <v>101377.25</v>
      </c>
    </row>
    <row r="338" spans="3:14" x14ac:dyDescent="0.2">
      <c r="C338">
        <v>2018</v>
      </c>
      <c r="D338">
        <v>6</v>
      </c>
      <c r="E338">
        <v>7.33</v>
      </c>
      <c r="F338">
        <v>459461.37</v>
      </c>
      <c r="G338">
        <v>6.9</v>
      </c>
      <c r="H338">
        <v>1264588</v>
      </c>
      <c r="I338">
        <v>9.1573747989999994</v>
      </c>
      <c r="J338">
        <v>23106.622220000001</v>
      </c>
      <c r="K338">
        <v>10.99</v>
      </c>
      <c r="L338">
        <v>3989645.7</v>
      </c>
      <c r="M338">
        <v>18.78</v>
      </c>
      <c r="N338">
        <v>1343678.41</v>
      </c>
    </row>
    <row r="339" spans="3:14" x14ac:dyDescent="0.2">
      <c r="C339">
        <v>2018</v>
      </c>
      <c r="D339">
        <v>7</v>
      </c>
      <c r="E339">
        <v>7.1</v>
      </c>
      <c r="F339">
        <v>762008.59</v>
      </c>
      <c r="G339">
        <v>7.74</v>
      </c>
      <c r="H339">
        <v>800485.9</v>
      </c>
      <c r="I339">
        <v>4.7231769699999999</v>
      </c>
      <c r="J339">
        <v>160599.95310000001</v>
      </c>
      <c r="K339">
        <v>11.8</v>
      </c>
      <c r="L339">
        <v>91264.65</v>
      </c>
      <c r="M339">
        <v>17.55</v>
      </c>
      <c r="N339">
        <v>1481650.14</v>
      </c>
    </row>
    <row r="340" spans="3:14" x14ac:dyDescent="0.2">
      <c r="C340">
        <v>2018</v>
      </c>
      <c r="D340">
        <v>8</v>
      </c>
      <c r="E340">
        <v>6.75</v>
      </c>
      <c r="F340">
        <v>244512.69</v>
      </c>
      <c r="G340">
        <v>7.14</v>
      </c>
      <c r="H340">
        <v>527251.36</v>
      </c>
      <c r="I340">
        <v>8.8140122190000003</v>
      </c>
      <c r="J340">
        <v>43704.386879999998</v>
      </c>
      <c r="K340">
        <v>11.34</v>
      </c>
      <c r="L340">
        <v>3734833.51</v>
      </c>
      <c r="M340">
        <v>4.66</v>
      </c>
      <c r="N340">
        <v>36594.49</v>
      </c>
    </row>
    <row r="341" spans="3:14" x14ac:dyDescent="0.2">
      <c r="C341">
        <v>2018</v>
      </c>
      <c r="D341">
        <v>9</v>
      </c>
      <c r="E341">
        <v>7.6</v>
      </c>
      <c r="F341">
        <v>352929.5</v>
      </c>
      <c r="G341">
        <v>7.05</v>
      </c>
      <c r="H341">
        <v>693603.5</v>
      </c>
      <c r="I341">
        <v>5.4981011310000003</v>
      </c>
      <c r="J341">
        <v>357216.78320000001</v>
      </c>
      <c r="K341">
        <v>10.9</v>
      </c>
      <c r="L341">
        <v>60591.78</v>
      </c>
      <c r="M341">
        <v>3.93</v>
      </c>
      <c r="N341">
        <v>409563.28</v>
      </c>
    </row>
    <row r="342" spans="3:14" x14ac:dyDescent="0.2">
      <c r="C342">
        <v>2018</v>
      </c>
      <c r="D342">
        <v>10</v>
      </c>
      <c r="E342">
        <v>7.15</v>
      </c>
      <c r="F342">
        <v>531290.23</v>
      </c>
      <c r="G342">
        <v>7.94</v>
      </c>
      <c r="H342">
        <v>692900.23</v>
      </c>
      <c r="I342">
        <v>6.2858868340000003</v>
      </c>
      <c r="J342">
        <v>227776.92920000001</v>
      </c>
      <c r="K342">
        <v>11.2</v>
      </c>
      <c r="L342">
        <v>2832603.8</v>
      </c>
      <c r="M342">
        <v>15.93</v>
      </c>
      <c r="N342">
        <v>3797876.83</v>
      </c>
    </row>
    <row r="343" spans="3:14" x14ac:dyDescent="0.2">
      <c r="C343">
        <v>2018</v>
      </c>
      <c r="D343">
        <v>11</v>
      </c>
      <c r="E343">
        <v>7.24</v>
      </c>
      <c r="F343">
        <v>170723.91</v>
      </c>
      <c r="G343">
        <v>6.17</v>
      </c>
      <c r="H343">
        <v>523071.39</v>
      </c>
      <c r="I343">
        <v>6.3287865329999997</v>
      </c>
      <c r="J343">
        <v>89150.423559999996</v>
      </c>
      <c r="K343">
        <v>10.84</v>
      </c>
      <c r="L343">
        <v>128293.45</v>
      </c>
      <c r="M343">
        <v>14.61</v>
      </c>
      <c r="N343">
        <v>4269755.9000000004</v>
      </c>
    </row>
    <row r="344" spans="3:14" x14ac:dyDescent="0.2">
      <c r="C344">
        <v>2018</v>
      </c>
      <c r="D344">
        <v>12</v>
      </c>
      <c r="E344">
        <v>7.16</v>
      </c>
      <c r="F344">
        <v>23876.080000000002</v>
      </c>
      <c r="G344">
        <v>11.98</v>
      </c>
      <c r="H344">
        <v>236351.17</v>
      </c>
      <c r="I344">
        <v>5.0741376479999998</v>
      </c>
      <c r="J344">
        <v>114600.55680000001</v>
      </c>
      <c r="K344">
        <v>10.94</v>
      </c>
      <c r="L344">
        <v>4109546.16</v>
      </c>
      <c r="M344">
        <v>4.17</v>
      </c>
      <c r="N344">
        <v>62315.79</v>
      </c>
    </row>
    <row r="345" spans="3:14" x14ac:dyDescent="0.2">
      <c r="C345">
        <v>2019</v>
      </c>
      <c r="D345">
        <v>1</v>
      </c>
      <c r="E345">
        <v>7.23</v>
      </c>
      <c r="F345">
        <v>25785.29</v>
      </c>
      <c r="G345">
        <v>8</v>
      </c>
      <c r="H345">
        <v>179008.89</v>
      </c>
      <c r="I345">
        <v>5.4232768440000001</v>
      </c>
      <c r="J345">
        <v>86853.209520000004</v>
      </c>
      <c r="K345">
        <v>11.33</v>
      </c>
      <c r="L345">
        <v>1199752</v>
      </c>
      <c r="M345">
        <v>7.28</v>
      </c>
      <c r="N345">
        <v>201658.8</v>
      </c>
    </row>
    <row r="346" spans="3:14" x14ac:dyDescent="0.2">
      <c r="C346">
        <v>2019</v>
      </c>
      <c r="D346">
        <v>2</v>
      </c>
      <c r="E346">
        <v>0</v>
      </c>
      <c r="F346">
        <v>0</v>
      </c>
      <c r="G346">
        <v>9.5500000000000007</v>
      </c>
      <c r="H346">
        <v>39487.03</v>
      </c>
      <c r="I346">
        <v>5.5583447030000004</v>
      </c>
      <c r="J346">
        <v>69339.708240000007</v>
      </c>
      <c r="K346">
        <v>10.08</v>
      </c>
      <c r="L346">
        <v>533548.9</v>
      </c>
      <c r="M346">
        <v>19.739999999999998</v>
      </c>
      <c r="N346">
        <v>1639831.63</v>
      </c>
    </row>
    <row r="347" spans="3:14" x14ac:dyDescent="0.2">
      <c r="C347">
        <v>2019</v>
      </c>
      <c r="D347">
        <v>3</v>
      </c>
      <c r="E347">
        <v>9.35</v>
      </c>
      <c r="F347">
        <v>16049.67</v>
      </c>
      <c r="G347">
        <v>15.05</v>
      </c>
      <c r="H347">
        <v>72404.28</v>
      </c>
      <c r="I347">
        <v>5.9897378699999999</v>
      </c>
      <c r="J347">
        <v>69998.889620000002</v>
      </c>
      <c r="K347">
        <v>5.98</v>
      </c>
      <c r="L347">
        <v>1499.14</v>
      </c>
      <c r="M347">
        <v>17.350000000000001</v>
      </c>
      <c r="N347">
        <v>1982570.67</v>
      </c>
    </row>
    <row r="348" spans="3:14" x14ac:dyDescent="0.2">
      <c r="C348">
        <v>2019</v>
      </c>
      <c r="D348">
        <v>4</v>
      </c>
      <c r="E348">
        <v>6.95</v>
      </c>
      <c r="F348">
        <v>20908.66</v>
      </c>
      <c r="G348">
        <v>7.9</v>
      </c>
      <c r="H348">
        <v>67675.360000000001</v>
      </c>
      <c r="I348">
        <v>4.2473085939999997</v>
      </c>
      <c r="J348">
        <v>135440.8297</v>
      </c>
      <c r="K348">
        <v>10</v>
      </c>
      <c r="L348">
        <v>484579.89</v>
      </c>
      <c r="M348">
        <v>3.85</v>
      </c>
      <c r="N348">
        <v>141080.25</v>
      </c>
    </row>
    <row r="349" spans="3:14" x14ac:dyDescent="0.2">
      <c r="C349">
        <v>2019</v>
      </c>
      <c r="D349">
        <v>5</v>
      </c>
      <c r="E349">
        <v>0</v>
      </c>
      <c r="F349">
        <v>0</v>
      </c>
      <c r="G349">
        <v>9.23</v>
      </c>
      <c r="H349">
        <v>143997.25</v>
      </c>
      <c r="I349">
        <v>6.9167521809999997</v>
      </c>
      <c r="J349">
        <v>861609.58840000001</v>
      </c>
      <c r="K349">
        <v>8.19</v>
      </c>
      <c r="L349">
        <v>384886.97</v>
      </c>
      <c r="M349">
        <v>6.62</v>
      </c>
      <c r="N349">
        <v>171413.61</v>
      </c>
    </row>
    <row r="350" spans="3:14" x14ac:dyDescent="0.2">
      <c r="C350">
        <v>2019</v>
      </c>
      <c r="D350">
        <v>6</v>
      </c>
      <c r="E350">
        <v>7.13</v>
      </c>
      <c r="F350">
        <v>523212.49</v>
      </c>
      <c r="G350">
        <v>7.01</v>
      </c>
      <c r="H350">
        <v>1696663.52</v>
      </c>
      <c r="I350">
        <v>6.4988755400000002</v>
      </c>
      <c r="J350">
        <v>164072.22959999999</v>
      </c>
      <c r="K350">
        <v>10.49</v>
      </c>
      <c r="L350">
        <v>2502761.79</v>
      </c>
      <c r="M350">
        <v>18.2</v>
      </c>
      <c r="N350">
        <v>2135284.7000000002</v>
      </c>
    </row>
    <row r="351" spans="3:14" x14ac:dyDescent="0.2">
      <c r="C351">
        <v>2019</v>
      </c>
      <c r="D351">
        <v>7</v>
      </c>
      <c r="E351">
        <v>7.32</v>
      </c>
      <c r="F351">
        <v>512606.04</v>
      </c>
      <c r="G351">
        <v>6.1</v>
      </c>
      <c r="H351">
        <v>1408871.85</v>
      </c>
      <c r="I351">
        <v>5.7647120010000004</v>
      </c>
      <c r="J351">
        <v>35031.411800000002</v>
      </c>
      <c r="K351">
        <v>8.4600000000000009</v>
      </c>
      <c r="L351">
        <v>130460.59</v>
      </c>
      <c r="M351">
        <v>10.19</v>
      </c>
      <c r="N351">
        <v>61927.78</v>
      </c>
    </row>
    <row r="352" spans="3:14" x14ac:dyDescent="0.2">
      <c r="C352">
        <v>2019</v>
      </c>
      <c r="D352">
        <v>8</v>
      </c>
      <c r="E352">
        <v>7.24</v>
      </c>
      <c r="F352">
        <v>662857.81000000006</v>
      </c>
      <c r="G352">
        <v>7.98</v>
      </c>
      <c r="H352">
        <v>780913.24</v>
      </c>
      <c r="I352">
        <v>6.2344390709999997</v>
      </c>
      <c r="J352">
        <v>177496.16080000001</v>
      </c>
      <c r="K352">
        <v>10.45</v>
      </c>
      <c r="L352">
        <v>5401129.4000000004</v>
      </c>
      <c r="M352">
        <v>17.149999999999999</v>
      </c>
      <c r="N352">
        <v>2368626.09</v>
      </c>
    </row>
    <row r="353" spans="3:14" x14ac:dyDescent="0.2">
      <c r="C353">
        <v>2019</v>
      </c>
      <c r="D353">
        <v>9</v>
      </c>
      <c r="E353">
        <v>7.24</v>
      </c>
      <c r="F353">
        <v>466233.97</v>
      </c>
      <c r="G353">
        <v>7.8</v>
      </c>
      <c r="H353">
        <v>871979.66</v>
      </c>
      <c r="I353">
        <v>6.6673588160000001</v>
      </c>
      <c r="J353">
        <v>261295.97159999999</v>
      </c>
      <c r="K353">
        <v>10.92</v>
      </c>
      <c r="L353">
        <v>196552.9</v>
      </c>
      <c r="M353">
        <v>7.7</v>
      </c>
      <c r="N353">
        <v>103782.49</v>
      </c>
    </row>
    <row r="354" spans="3:14" x14ac:dyDescent="0.2">
      <c r="C354">
        <v>2019</v>
      </c>
      <c r="D354">
        <v>10</v>
      </c>
      <c r="E354">
        <v>6.21</v>
      </c>
      <c r="F354">
        <v>156958.24</v>
      </c>
      <c r="G354">
        <v>7.31</v>
      </c>
      <c r="H354">
        <v>817869.36</v>
      </c>
      <c r="I354">
        <v>6.4784557520000003</v>
      </c>
      <c r="J354">
        <v>70391.311979999999</v>
      </c>
      <c r="K354">
        <v>11.43</v>
      </c>
      <c r="L354">
        <v>3298492.92</v>
      </c>
      <c r="M354">
        <v>18.75</v>
      </c>
      <c r="N354">
        <v>1420573.35</v>
      </c>
    </row>
    <row r="355" spans="3:14" x14ac:dyDescent="0.2">
      <c r="C355">
        <v>2019</v>
      </c>
      <c r="D355">
        <v>11</v>
      </c>
      <c r="E355">
        <v>7.2</v>
      </c>
      <c r="F355">
        <v>173744.25</v>
      </c>
      <c r="G355">
        <v>8.3000000000000007</v>
      </c>
      <c r="H355">
        <v>615447.36</v>
      </c>
      <c r="I355">
        <v>6.5938821230000002</v>
      </c>
      <c r="J355">
        <v>70062.823600000003</v>
      </c>
      <c r="K355">
        <v>13.24</v>
      </c>
      <c r="L355">
        <v>63457.78</v>
      </c>
      <c r="M355">
        <v>5.35</v>
      </c>
      <c r="N355">
        <v>3430.39</v>
      </c>
    </row>
    <row r="356" spans="3:14" x14ac:dyDescent="0.2">
      <c r="C356">
        <v>2019</v>
      </c>
      <c r="D356">
        <v>12</v>
      </c>
      <c r="E356">
        <v>5.14</v>
      </c>
      <c r="F356">
        <v>54597.52</v>
      </c>
      <c r="G356">
        <v>7.47</v>
      </c>
      <c r="H356">
        <v>276587.77</v>
      </c>
      <c r="I356">
        <v>7.824386412</v>
      </c>
      <c r="J356">
        <v>95863.491460000005</v>
      </c>
      <c r="K356">
        <v>10.52</v>
      </c>
      <c r="L356">
        <v>5439893.2400000002</v>
      </c>
      <c r="M356">
        <v>17.97</v>
      </c>
      <c r="N356">
        <v>1527786.23</v>
      </c>
    </row>
    <row r="357" spans="3:14" x14ac:dyDescent="0.2">
      <c r="C357">
        <v>2020</v>
      </c>
      <c r="D357">
        <v>1</v>
      </c>
      <c r="E357">
        <v>0</v>
      </c>
      <c r="F357">
        <v>0</v>
      </c>
      <c r="G357">
        <v>8.35</v>
      </c>
      <c r="H357">
        <v>102041.04</v>
      </c>
      <c r="I357">
        <v>7.0167266850000001</v>
      </c>
      <c r="J357">
        <v>33265.511180000001</v>
      </c>
      <c r="K357">
        <v>10.98</v>
      </c>
      <c r="L357">
        <v>170624.36</v>
      </c>
      <c r="M357">
        <v>6.63</v>
      </c>
      <c r="N357">
        <v>93398.73</v>
      </c>
    </row>
    <row r="358" spans="3:14" x14ac:dyDescent="0.2">
      <c r="C358">
        <v>2020</v>
      </c>
      <c r="D358">
        <v>2</v>
      </c>
      <c r="E358">
        <v>6.6</v>
      </c>
      <c r="F358">
        <v>33739.57</v>
      </c>
      <c r="G358">
        <v>8.7899999999999991</v>
      </c>
      <c r="H358">
        <v>162729.94</v>
      </c>
      <c r="I358">
        <v>5.2272031139999999</v>
      </c>
      <c r="J358">
        <v>101610.93580000001</v>
      </c>
      <c r="K358">
        <v>10.94</v>
      </c>
      <c r="L358">
        <v>4037413.2</v>
      </c>
      <c r="M358">
        <v>17.07</v>
      </c>
      <c r="N358">
        <v>1525890.25</v>
      </c>
    </row>
    <row r="359" spans="3:14" x14ac:dyDescent="0.2">
      <c r="C359">
        <v>2020</v>
      </c>
      <c r="D359">
        <v>3</v>
      </c>
      <c r="E359">
        <v>0</v>
      </c>
      <c r="F359">
        <v>0</v>
      </c>
      <c r="G359">
        <v>9.14</v>
      </c>
      <c r="H359">
        <v>151506.20000000001</v>
      </c>
      <c r="K359">
        <v>11.89</v>
      </c>
      <c r="L359">
        <v>82651.199999999997</v>
      </c>
      <c r="M359">
        <v>8.7899999999999991</v>
      </c>
      <c r="N359">
        <v>57507.51</v>
      </c>
    </row>
    <row r="360" spans="3:14" x14ac:dyDescent="0.2">
      <c r="C360">
        <v>2020</v>
      </c>
      <c r="D360">
        <v>4</v>
      </c>
      <c r="E360">
        <v>0</v>
      </c>
      <c r="F360">
        <v>0</v>
      </c>
      <c r="G360">
        <v>6.45</v>
      </c>
      <c r="H360">
        <v>9279.26</v>
      </c>
      <c r="I360">
        <v>4.8008779669999999</v>
      </c>
      <c r="J360">
        <v>18177.091899999999</v>
      </c>
      <c r="K360">
        <v>12.57</v>
      </c>
      <c r="L360">
        <v>4104870.16</v>
      </c>
      <c r="M360">
        <v>16.2</v>
      </c>
      <c r="N360">
        <v>1676796.49</v>
      </c>
    </row>
    <row r="361" spans="3:14" x14ac:dyDescent="0.2">
      <c r="C361">
        <v>2020</v>
      </c>
      <c r="D361">
        <v>5</v>
      </c>
      <c r="E361">
        <v>7.07</v>
      </c>
      <c r="F361">
        <v>83414.17</v>
      </c>
      <c r="G361">
        <v>3.84</v>
      </c>
      <c r="H361">
        <v>135487.4</v>
      </c>
      <c r="I361">
        <v>5.059562433</v>
      </c>
      <c r="J361">
        <v>381165.57030000002</v>
      </c>
      <c r="K361">
        <v>12.02</v>
      </c>
      <c r="L361">
        <v>108967.75</v>
      </c>
      <c r="M361">
        <v>6.13</v>
      </c>
      <c r="N361">
        <v>121778.8</v>
      </c>
    </row>
    <row r="362" spans="3:14" x14ac:dyDescent="0.2">
      <c r="C362">
        <v>2020</v>
      </c>
      <c r="D362">
        <v>6</v>
      </c>
      <c r="E362">
        <v>5.77</v>
      </c>
      <c r="F362">
        <v>459234.29</v>
      </c>
      <c r="G362">
        <v>5.44</v>
      </c>
      <c r="H362">
        <v>1659231.2</v>
      </c>
      <c r="I362">
        <v>5.3588298559999998</v>
      </c>
      <c r="J362">
        <v>312985.49219999998</v>
      </c>
      <c r="K362">
        <v>11.95</v>
      </c>
      <c r="L362">
        <v>2628533.15</v>
      </c>
      <c r="M362">
        <v>16.16</v>
      </c>
      <c r="N362">
        <v>1266307.27</v>
      </c>
    </row>
    <row r="363" spans="3:14" x14ac:dyDescent="0.2">
      <c r="C363">
        <v>2020</v>
      </c>
      <c r="D363">
        <v>7</v>
      </c>
      <c r="E363">
        <v>5.73</v>
      </c>
      <c r="F363">
        <v>491840.69</v>
      </c>
      <c r="G363">
        <v>5.36</v>
      </c>
      <c r="H363">
        <v>1276878.78</v>
      </c>
      <c r="I363">
        <v>5.1356323430000002</v>
      </c>
      <c r="J363">
        <v>332331.03269999998</v>
      </c>
      <c r="K363">
        <v>12.23</v>
      </c>
      <c r="L363">
        <v>64961.33</v>
      </c>
      <c r="M363">
        <v>7.36</v>
      </c>
      <c r="N363">
        <v>35359.9</v>
      </c>
    </row>
    <row r="364" spans="3:14" x14ac:dyDescent="0.2">
      <c r="C364">
        <v>2020</v>
      </c>
      <c r="D364">
        <v>8</v>
      </c>
      <c r="E364">
        <v>6.65</v>
      </c>
      <c r="F364">
        <v>179202.9</v>
      </c>
      <c r="G364">
        <v>5.21</v>
      </c>
      <c r="H364">
        <v>688382.95</v>
      </c>
      <c r="I364">
        <v>4.9431333159999999</v>
      </c>
      <c r="J364">
        <v>37983.397980000002</v>
      </c>
      <c r="K364">
        <v>13.58</v>
      </c>
      <c r="L364">
        <v>2770003.62</v>
      </c>
      <c r="M364">
        <v>15.08</v>
      </c>
      <c r="N364">
        <v>1423445.97</v>
      </c>
    </row>
    <row r="365" spans="3:14" x14ac:dyDescent="0.2">
      <c r="C365">
        <v>2020</v>
      </c>
      <c r="D365">
        <v>9</v>
      </c>
      <c r="E365">
        <v>6.79</v>
      </c>
      <c r="F365">
        <v>389213.21</v>
      </c>
      <c r="G365">
        <v>6.54</v>
      </c>
      <c r="H365">
        <v>1126882.75</v>
      </c>
      <c r="I365">
        <v>5.1185433280000003</v>
      </c>
      <c r="J365">
        <v>114701.9694</v>
      </c>
      <c r="K365">
        <v>10.84</v>
      </c>
      <c r="L365">
        <v>106919.66</v>
      </c>
      <c r="M365">
        <v>4.57</v>
      </c>
      <c r="N365">
        <v>164971.71</v>
      </c>
    </row>
    <row r="366" spans="3:14" x14ac:dyDescent="0.2">
      <c r="C366">
        <v>2020</v>
      </c>
      <c r="D366">
        <v>10</v>
      </c>
      <c r="E366">
        <v>6.18</v>
      </c>
      <c r="F366">
        <v>665986.17000000004</v>
      </c>
      <c r="G366">
        <v>9.52</v>
      </c>
      <c r="H366">
        <v>678664.97</v>
      </c>
      <c r="I366">
        <v>5.2164198170000002</v>
      </c>
      <c r="J366">
        <v>34530.963060000002</v>
      </c>
      <c r="K366">
        <v>13.72</v>
      </c>
      <c r="L366">
        <v>1580908.75</v>
      </c>
      <c r="M366">
        <v>16.260000000000002</v>
      </c>
      <c r="N366">
        <v>1492860.64</v>
      </c>
    </row>
    <row r="367" spans="3:14" x14ac:dyDescent="0.2">
      <c r="C367">
        <v>2020</v>
      </c>
      <c r="D367">
        <v>11</v>
      </c>
      <c r="E367">
        <v>6.01</v>
      </c>
      <c r="F367">
        <v>384625.39</v>
      </c>
      <c r="G367">
        <v>8.2899999999999991</v>
      </c>
      <c r="H367">
        <v>328998.31</v>
      </c>
      <c r="I367">
        <v>4.938958575</v>
      </c>
      <c r="J367">
        <v>194864.15719999999</v>
      </c>
      <c r="K367">
        <v>3.88</v>
      </c>
      <c r="L367">
        <v>121778.8</v>
      </c>
      <c r="M367">
        <v>3.6</v>
      </c>
      <c r="N367">
        <v>118024.33</v>
      </c>
    </row>
    <row r="368" spans="3:14" x14ac:dyDescent="0.2">
      <c r="C368">
        <v>2020</v>
      </c>
      <c r="D368">
        <v>12</v>
      </c>
      <c r="E368">
        <v>6.3</v>
      </c>
      <c r="F368">
        <v>65342.86</v>
      </c>
      <c r="G368">
        <v>7.33</v>
      </c>
      <c r="H368">
        <v>107825.98</v>
      </c>
      <c r="I368">
        <v>3.556647951</v>
      </c>
      <c r="J368">
        <v>60891.604399999997</v>
      </c>
      <c r="K368">
        <v>12.2</v>
      </c>
      <c r="L368">
        <v>415343.79</v>
      </c>
      <c r="M368">
        <v>14.33</v>
      </c>
      <c r="N368">
        <v>1775856.68</v>
      </c>
    </row>
    <row r="369" spans="3:14" x14ac:dyDescent="0.2">
      <c r="C369">
        <v>2021</v>
      </c>
      <c r="D369">
        <v>1</v>
      </c>
      <c r="E369">
        <v>6.28</v>
      </c>
      <c r="F369">
        <v>31446.76</v>
      </c>
      <c r="G369">
        <v>8</v>
      </c>
      <c r="H369">
        <v>88658.97</v>
      </c>
      <c r="I369">
        <v>5.6929548580000002</v>
      </c>
      <c r="J369">
        <v>34630.170960000003</v>
      </c>
      <c r="K369">
        <v>11.17</v>
      </c>
      <c r="L369">
        <v>271465.88</v>
      </c>
      <c r="M369">
        <v>7.57</v>
      </c>
      <c r="N369">
        <v>72606.960000000006</v>
      </c>
    </row>
    <row r="370" spans="3:14" x14ac:dyDescent="0.2">
      <c r="C370">
        <v>2021</v>
      </c>
      <c r="D370">
        <v>2</v>
      </c>
      <c r="E370">
        <v>6.45</v>
      </c>
      <c r="F370">
        <v>14810.67</v>
      </c>
      <c r="G370">
        <v>14.11</v>
      </c>
      <c r="H370">
        <v>19475.650000000001</v>
      </c>
      <c r="K370">
        <v>12.63</v>
      </c>
      <c r="L370">
        <v>342207.73</v>
      </c>
      <c r="M370">
        <v>16.16</v>
      </c>
      <c r="N370">
        <v>571133.27</v>
      </c>
    </row>
    <row r="371" spans="3:14" x14ac:dyDescent="0.2">
      <c r="C371">
        <v>2021</v>
      </c>
      <c r="D371">
        <v>3</v>
      </c>
      <c r="E371">
        <v>0</v>
      </c>
      <c r="F371">
        <v>0</v>
      </c>
      <c r="G371">
        <v>5.5</v>
      </c>
      <c r="H371">
        <v>203575.02</v>
      </c>
      <c r="I371">
        <v>5.6468740720000001</v>
      </c>
      <c r="J371">
        <v>69061.926120000004</v>
      </c>
      <c r="K371">
        <v>11.65</v>
      </c>
      <c r="L371">
        <v>2236959.5699999998</v>
      </c>
      <c r="M371">
        <v>14.31</v>
      </c>
      <c r="N371">
        <v>698009.15</v>
      </c>
    </row>
    <row r="372" spans="3:14" x14ac:dyDescent="0.2">
      <c r="C372">
        <v>2021</v>
      </c>
      <c r="D372">
        <v>4</v>
      </c>
      <c r="E372">
        <v>0</v>
      </c>
      <c r="F372">
        <v>0</v>
      </c>
      <c r="G372">
        <v>6.95</v>
      </c>
      <c r="H372">
        <v>49061.71</v>
      </c>
      <c r="K372">
        <v>9.2899999999999991</v>
      </c>
      <c r="L372">
        <v>19610.09</v>
      </c>
      <c r="M372">
        <v>3.87</v>
      </c>
      <c r="N372">
        <v>54268.93</v>
      </c>
    </row>
    <row r="373" spans="3:14" x14ac:dyDescent="0.2">
      <c r="C373">
        <v>2021</v>
      </c>
      <c r="D373">
        <v>5</v>
      </c>
      <c r="E373">
        <v>8.64</v>
      </c>
      <c r="F373">
        <v>197152.95</v>
      </c>
      <c r="G373">
        <v>7.7</v>
      </c>
      <c r="H373">
        <v>300441.81</v>
      </c>
      <c r="I373">
        <v>6.0047537369999997</v>
      </c>
      <c r="J373">
        <v>36012.467700000001</v>
      </c>
      <c r="K373">
        <v>8.6199999999999992</v>
      </c>
      <c r="L373">
        <v>85742.080000000002</v>
      </c>
      <c r="M373">
        <v>23.45</v>
      </c>
      <c r="N373">
        <v>20593.36</v>
      </c>
    </row>
    <row r="374" spans="3:14" x14ac:dyDescent="0.2">
      <c r="C374">
        <v>2021</v>
      </c>
      <c r="D374">
        <v>6</v>
      </c>
      <c r="E374">
        <v>8.94</v>
      </c>
      <c r="F374">
        <v>1315896.22</v>
      </c>
      <c r="G374">
        <v>9.57</v>
      </c>
      <c r="H374">
        <v>2252846.17</v>
      </c>
      <c r="I374">
        <v>8.4876209550000006</v>
      </c>
      <c r="J374">
        <v>487545.09909999999</v>
      </c>
      <c r="K374">
        <v>11.89</v>
      </c>
      <c r="L374">
        <v>6567688.6399999997</v>
      </c>
      <c r="M374">
        <v>15.59</v>
      </c>
      <c r="N374">
        <v>300577.89</v>
      </c>
    </row>
    <row r="375" spans="3:14" x14ac:dyDescent="0.2">
      <c r="C375">
        <v>2021</v>
      </c>
      <c r="D375">
        <v>7</v>
      </c>
      <c r="E375">
        <v>8.68</v>
      </c>
      <c r="F375">
        <v>578354.56000000006</v>
      </c>
      <c r="G375">
        <v>8.66</v>
      </c>
      <c r="H375">
        <v>2594465.9500000002</v>
      </c>
      <c r="I375">
        <v>8.9721927049999994</v>
      </c>
      <c r="J375">
        <v>177022.16750000001</v>
      </c>
      <c r="K375">
        <v>12.38</v>
      </c>
      <c r="L375">
        <v>3250555.66</v>
      </c>
      <c r="M375">
        <v>15.43</v>
      </c>
      <c r="N375">
        <v>337198.83</v>
      </c>
    </row>
    <row r="376" spans="3:14" x14ac:dyDescent="0.2">
      <c r="C376">
        <v>2021</v>
      </c>
      <c r="D376">
        <v>8</v>
      </c>
      <c r="E376">
        <v>8.01</v>
      </c>
      <c r="F376">
        <v>157293.34</v>
      </c>
      <c r="G376">
        <v>8.58</v>
      </c>
      <c r="H376">
        <v>697353.57</v>
      </c>
      <c r="I376">
        <v>7.1598437700000002</v>
      </c>
      <c r="J376">
        <v>165910.88269999999</v>
      </c>
      <c r="K376">
        <v>6.25</v>
      </c>
      <c r="L376">
        <v>60027.39</v>
      </c>
      <c r="M376">
        <v>2.08</v>
      </c>
      <c r="N376">
        <v>16027.59</v>
      </c>
    </row>
    <row r="377" spans="3:14" x14ac:dyDescent="0.2">
      <c r="C377">
        <v>2021</v>
      </c>
      <c r="D377">
        <v>9</v>
      </c>
      <c r="E377">
        <v>9.77</v>
      </c>
      <c r="F377">
        <v>347757.46</v>
      </c>
      <c r="G377">
        <v>10.220000000000001</v>
      </c>
      <c r="H377">
        <v>719133.05</v>
      </c>
      <c r="I377">
        <v>9.5494915220000003</v>
      </c>
      <c r="J377">
        <v>35273.919999999998</v>
      </c>
      <c r="K377">
        <v>10.67</v>
      </c>
      <c r="L377">
        <v>109364.58</v>
      </c>
      <c r="M377">
        <v>7.44</v>
      </c>
      <c r="N377">
        <v>15998.93</v>
      </c>
    </row>
    <row r="378" spans="3:14" x14ac:dyDescent="0.2">
      <c r="C378">
        <v>2021</v>
      </c>
      <c r="D378">
        <v>10</v>
      </c>
      <c r="E378">
        <v>8.52</v>
      </c>
      <c r="F378">
        <v>525238.54</v>
      </c>
      <c r="G378">
        <v>11.65</v>
      </c>
      <c r="H378">
        <v>1114730.8600000001</v>
      </c>
      <c r="I378">
        <v>7.6477833669999997</v>
      </c>
      <c r="J378">
        <v>148950.74110000001</v>
      </c>
      <c r="K378">
        <v>13.61</v>
      </c>
      <c r="L378">
        <v>3583477.53</v>
      </c>
      <c r="M378">
        <v>17.510000000000002</v>
      </c>
      <c r="N378">
        <v>288761.13</v>
      </c>
    </row>
    <row r="379" spans="3:14" x14ac:dyDescent="0.2">
      <c r="C379">
        <v>2021</v>
      </c>
      <c r="D379">
        <v>11</v>
      </c>
      <c r="E379">
        <v>8.0299999999999994</v>
      </c>
      <c r="F379">
        <v>340521.88</v>
      </c>
      <c r="G379">
        <v>12.01</v>
      </c>
      <c r="H379">
        <v>638035.93999999994</v>
      </c>
      <c r="I379">
        <v>9.9533704850000007</v>
      </c>
      <c r="J379">
        <v>60957.743000000002</v>
      </c>
      <c r="K379">
        <v>14.29</v>
      </c>
      <c r="L379">
        <v>4681856.7</v>
      </c>
      <c r="M379">
        <v>16.920000000000002</v>
      </c>
      <c r="N379">
        <v>306953.65000000002</v>
      </c>
    </row>
    <row r="380" spans="3:14" x14ac:dyDescent="0.2">
      <c r="C380">
        <v>2021</v>
      </c>
      <c r="D380">
        <v>12</v>
      </c>
      <c r="E380">
        <v>8.51</v>
      </c>
      <c r="F380">
        <v>44154.22</v>
      </c>
      <c r="G380">
        <v>14.57</v>
      </c>
      <c r="H380">
        <v>206328.59</v>
      </c>
      <c r="I380">
        <v>10.05497134</v>
      </c>
      <c r="J380">
        <v>37035.411379999998</v>
      </c>
      <c r="K380">
        <v>10.61</v>
      </c>
      <c r="L380">
        <v>101099.46</v>
      </c>
      <c r="M380">
        <v>8.41</v>
      </c>
      <c r="N380">
        <v>2193.6</v>
      </c>
    </row>
    <row r="381" spans="3:14" x14ac:dyDescent="0.2">
      <c r="C381">
        <v>2022</v>
      </c>
      <c r="D381">
        <v>1</v>
      </c>
      <c r="E381">
        <v>10.82</v>
      </c>
      <c r="F381">
        <v>151041.01999999999</v>
      </c>
      <c r="G381">
        <v>8.1</v>
      </c>
      <c r="H381">
        <v>284656.7</v>
      </c>
      <c r="I381">
        <v>27.779129390000001</v>
      </c>
      <c r="J381">
        <v>436.51476000000002</v>
      </c>
      <c r="K381">
        <v>12.33</v>
      </c>
      <c r="L381">
        <v>147158.39000000001</v>
      </c>
      <c r="M381">
        <v>14.6</v>
      </c>
      <c r="N381">
        <v>3231.97</v>
      </c>
    </row>
    <row r="382" spans="3:14" x14ac:dyDescent="0.2">
      <c r="C382">
        <v>2022</v>
      </c>
      <c r="D382">
        <v>2</v>
      </c>
      <c r="E382">
        <v>0</v>
      </c>
      <c r="F382">
        <v>0</v>
      </c>
      <c r="G382">
        <v>18.2</v>
      </c>
      <c r="H382">
        <v>412491.84</v>
      </c>
      <c r="I382">
        <v>25.764531420000001</v>
      </c>
      <c r="J382">
        <v>1761.4913799999999</v>
      </c>
      <c r="K382">
        <v>15.85</v>
      </c>
      <c r="L382">
        <v>4812458.38</v>
      </c>
      <c r="M382">
        <v>16.43</v>
      </c>
      <c r="N382">
        <v>174497.88</v>
      </c>
    </row>
    <row r="383" spans="3:14" x14ac:dyDescent="0.2">
      <c r="C383">
        <v>2022</v>
      </c>
      <c r="D383">
        <v>3</v>
      </c>
      <c r="E383">
        <v>11.5</v>
      </c>
      <c r="F383">
        <v>31724.55</v>
      </c>
      <c r="G383">
        <v>20.61</v>
      </c>
      <c r="H383">
        <v>63526.25</v>
      </c>
      <c r="K383">
        <v>15.17</v>
      </c>
      <c r="L383">
        <v>3143397.9</v>
      </c>
      <c r="M383">
        <v>12.64</v>
      </c>
      <c r="N383">
        <v>250905.60000000001</v>
      </c>
    </row>
    <row r="384" spans="3:14" x14ac:dyDescent="0.2">
      <c r="C384">
        <v>2022</v>
      </c>
      <c r="D384">
        <v>4</v>
      </c>
      <c r="E384">
        <v>9.5399999999999991</v>
      </c>
      <c r="F384">
        <v>24954.14</v>
      </c>
      <c r="G384">
        <v>16.18</v>
      </c>
      <c r="H384">
        <v>72190.429999999993</v>
      </c>
      <c r="K384">
        <v>13.39</v>
      </c>
      <c r="L384">
        <v>106514.01</v>
      </c>
      <c r="M384">
        <v>3.51</v>
      </c>
      <c r="N384">
        <v>73175.75</v>
      </c>
    </row>
    <row r="385" spans="3:14" x14ac:dyDescent="0.2">
      <c r="C385">
        <v>2022</v>
      </c>
      <c r="D385">
        <v>5</v>
      </c>
      <c r="E385">
        <v>9.4600000000000009</v>
      </c>
      <c r="F385">
        <v>104280.94</v>
      </c>
      <c r="G385">
        <v>9.99</v>
      </c>
      <c r="H385">
        <v>732228.52</v>
      </c>
      <c r="I385">
        <v>8.5948291700000006</v>
      </c>
      <c r="J385">
        <v>35031.411800000002</v>
      </c>
      <c r="K385">
        <v>13.5</v>
      </c>
      <c r="L385">
        <v>89838.27</v>
      </c>
      <c r="M385">
        <v>4.9800000000000004</v>
      </c>
      <c r="N385">
        <v>148163.69</v>
      </c>
    </row>
    <row r="386" spans="3:14" x14ac:dyDescent="0.2">
      <c r="C386">
        <v>2022</v>
      </c>
      <c r="D386">
        <v>6</v>
      </c>
      <c r="E386">
        <v>9.58</v>
      </c>
      <c r="F386">
        <v>1563085.33</v>
      </c>
      <c r="G386">
        <v>8.93</v>
      </c>
      <c r="H386">
        <v>2911087.5</v>
      </c>
      <c r="I386">
        <v>8.1974896220000009</v>
      </c>
      <c r="J386">
        <v>101562.4342</v>
      </c>
      <c r="K386">
        <v>14.87</v>
      </c>
      <c r="L386">
        <v>3981056.5</v>
      </c>
      <c r="M386">
        <v>17.34</v>
      </c>
      <c r="N386">
        <v>1501917.22</v>
      </c>
    </row>
    <row r="387" spans="3:14" x14ac:dyDescent="0.2">
      <c r="C387">
        <v>2022</v>
      </c>
      <c r="D387">
        <v>7</v>
      </c>
      <c r="E387">
        <v>9.7100000000000009</v>
      </c>
      <c r="F387">
        <v>1427877.92</v>
      </c>
      <c r="G387">
        <v>9.6300000000000008</v>
      </c>
      <c r="H387">
        <v>2716705.76</v>
      </c>
      <c r="I387">
        <v>8.8901111929999992</v>
      </c>
      <c r="J387">
        <v>331147.15169999999</v>
      </c>
      <c r="K387">
        <v>13.28</v>
      </c>
      <c r="L387">
        <v>2245136.5099999998</v>
      </c>
      <c r="M387">
        <v>16.2</v>
      </c>
      <c r="N387">
        <v>1654304.96</v>
      </c>
    </row>
    <row r="388" spans="3:14" x14ac:dyDescent="0.2">
      <c r="C388">
        <v>2022</v>
      </c>
      <c r="D388">
        <v>8</v>
      </c>
      <c r="E388">
        <v>9.15</v>
      </c>
      <c r="F388">
        <v>809302.19</v>
      </c>
      <c r="G388">
        <v>11.02</v>
      </c>
      <c r="H388">
        <v>1306844.04</v>
      </c>
      <c r="I388">
        <v>8.9466480760000007</v>
      </c>
      <c r="J388">
        <v>339149.92229999998</v>
      </c>
      <c r="K388">
        <v>6.33</v>
      </c>
      <c r="L388">
        <v>32670.26</v>
      </c>
      <c r="M388">
        <v>3.88</v>
      </c>
      <c r="N388">
        <v>4224.05</v>
      </c>
    </row>
    <row r="389" spans="3:14" x14ac:dyDescent="0.2">
      <c r="C389">
        <v>2022</v>
      </c>
      <c r="D389">
        <v>9</v>
      </c>
      <c r="E389">
        <v>9.24</v>
      </c>
      <c r="F389">
        <v>526294.56000000006</v>
      </c>
      <c r="G389">
        <v>9.74</v>
      </c>
      <c r="H389">
        <v>1284403.1599999999</v>
      </c>
      <c r="I389">
        <v>8.0964480870000006</v>
      </c>
      <c r="J389">
        <v>212035.9424</v>
      </c>
      <c r="K389">
        <v>14.28</v>
      </c>
      <c r="L389">
        <v>533240.26</v>
      </c>
      <c r="M389">
        <v>3.46</v>
      </c>
      <c r="N389">
        <v>198949.32</v>
      </c>
    </row>
    <row r="390" spans="3:14" x14ac:dyDescent="0.2">
      <c r="C390">
        <v>2022</v>
      </c>
      <c r="D390">
        <v>10</v>
      </c>
      <c r="E390">
        <v>8.06</v>
      </c>
      <c r="F390">
        <v>423395.92</v>
      </c>
      <c r="G390">
        <v>9.51</v>
      </c>
      <c r="H390">
        <v>564875.48</v>
      </c>
      <c r="I390">
        <v>8.1425861519999998</v>
      </c>
      <c r="J390">
        <v>214432.36429999999</v>
      </c>
      <c r="K390">
        <v>14.95</v>
      </c>
      <c r="L390">
        <v>366513.67</v>
      </c>
      <c r="M390">
        <v>16.63</v>
      </c>
      <c r="N390">
        <v>2796838.25</v>
      </c>
    </row>
    <row r="391" spans="3:14" x14ac:dyDescent="0.2">
      <c r="C391">
        <v>2022</v>
      </c>
      <c r="D391">
        <v>11</v>
      </c>
      <c r="E391">
        <v>10.01</v>
      </c>
      <c r="F391">
        <v>389330.06</v>
      </c>
      <c r="G391">
        <v>6.93</v>
      </c>
      <c r="H391">
        <v>307752.34000000003</v>
      </c>
      <c r="I391">
        <v>8.4940656800000003</v>
      </c>
      <c r="J391">
        <v>247190.81289999999</v>
      </c>
      <c r="K391">
        <v>12.99</v>
      </c>
      <c r="L391">
        <v>342265.05</v>
      </c>
      <c r="M391">
        <v>15.72</v>
      </c>
      <c r="N391">
        <v>3004588.41</v>
      </c>
    </row>
    <row r="392" spans="3:14" x14ac:dyDescent="0.2">
      <c r="C392">
        <v>2022</v>
      </c>
      <c r="D392">
        <v>12</v>
      </c>
      <c r="E392">
        <v>7.6</v>
      </c>
      <c r="F392">
        <v>47372.97</v>
      </c>
      <c r="G392">
        <v>9.27</v>
      </c>
      <c r="H392">
        <v>136783.72</v>
      </c>
      <c r="I392">
        <v>6.3936618159999998</v>
      </c>
      <c r="J392">
        <v>70062.823600000003</v>
      </c>
      <c r="K392">
        <v>10.029999999999999</v>
      </c>
      <c r="L392">
        <v>620507.93999999994</v>
      </c>
      <c r="M392">
        <v>2</v>
      </c>
      <c r="N392">
        <v>8800.84</v>
      </c>
    </row>
    <row r="393" spans="3:14" x14ac:dyDescent="0.2">
      <c r="C393">
        <v>2023</v>
      </c>
      <c r="D393">
        <v>1</v>
      </c>
      <c r="E393">
        <v>8.56</v>
      </c>
      <c r="F393">
        <v>105949.84</v>
      </c>
      <c r="G393">
        <v>8.67</v>
      </c>
      <c r="H393">
        <v>178658.35</v>
      </c>
      <c r="I393">
        <v>26.206259020000001</v>
      </c>
      <c r="J393">
        <v>1752.6729</v>
      </c>
      <c r="K393">
        <v>8.1999999999999993</v>
      </c>
      <c r="L393">
        <v>1796.77</v>
      </c>
      <c r="M393">
        <v>3.22</v>
      </c>
      <c r="N393">
        <v>230323.27</v>
      </c>
    </row>
    <row r="394" spans="3:14" x14ac:dyDescent="0.2">
      <c r="C394">
        <v>2023</v>
      </c>
      <c r="D394">
        <v>2</v>
      </c>
      <c r="E394">
        <v>4.32</v>
      </c>
      <c r="F394">
        <v>79487.73</v>
      </c>
      <c r="G394">
        <v>9.4700000000000006</v>
      </c>
      <c r="H394">
        <v>297445.71999999997</v>
      </c>
      <c r="I394">
        <v>6.5069685310000001</v>
      </c>
      <c r="J394">
        <v>102190.7509</v>
      </c>
      <c r="K394">
        <v>11.82</v>
      </c>
      <c r="L394">
        <v>8050110.4100000001</v>
      </c>
      <c r="M394">
        <v>15.9</v>
      </c>
      <c r="N394">
        <v>1835242.53</v>
      </c>
    </row>
    <row r="395" spans="3:14" x14ac:dyDescent="0.2">
      <c r="C395">
        <v>2023</v>
      </c>
      <c r="D395">
        <v>3</v>
      </c>
      <c r="E395">
        <v>0</v>
      </c>
      <c r="F395">
        <v>0</v>
      </c>
      <c r="G395">
        <v>17.399999999999999</v>
      </c>
      <c r="H395">
        <v>92014.41</v>
      </c>
      <c r="I395">
        <v>21.108257139999999</v>
      </c>
      <c r="J395">
        <v>24927.638340000001</v>
      </c>
      <c r="K395">
        <v>11.33</v>
      </c>
      <c r="L395">
        <v>327553.62</v>
      </c>
      <c r="M395">
        <v>14.48</v>
      </c>
      <c r="N395">
        <v>2065565.8</v>
      </c>
    </row>
    <row r="396" spans="3:14" x14ac:dyDescent="0.2">
      <c r="C396">
        <v>2023</v>
      </c>
      <c r="D396">
        <v>4</v>
      </c>
      <c r="E396">
        <v>0</v>
      </c>
      <c r="F396">
        <v>0</v>
      </c>
      <c r="G396">
        <v>3.79</v>
      </c>
      <c r="H396">
        <v>34969.75</v>
      </c>
      <c r="I396">
        <v>7.1998653340000001</v>
      </c>
      <c r="J396">
        <v>36601.101240000004</v>
      </c>
      <c r="K396">
        <v>14.11</v>
      </c>
      <c r="L396">
        <v>2553697.33</v>
      </c>
      <c r="M396">
        <v>2.1800000000000002</v>
      </c>
      <c r="N396">
        <v>353376.34</v>
      </c>
    </row>
    <row r="397" spans="3:14" x14ac:dyDescent="0.2">
      <c r="C397">
        <v>2023</v>
      </c>
      <c r="D397">
        <v>5</v>
      </c>
      <c r="E397">
        <v>9.27</v>
      </c>
      <c r="F397">
        <v>87871.92</v>
      </c>
      <c r="G397">
        <v>7.28</v>
      </c>
      <c r="H397">
        <v>202406.57</v>
      </c>
      <c r="I397">
        <v>6.924521006</v>
      </c>
      <c r="J397">
        <v>35273.919999999998</v>
      </c>
      <c r="K397">
        <v>13.56</v>
      </c>
      <c r="L397">
        <v>36241.75</v>
      </c>
      <c r="M397">
        <v>16.43</v>
      </c>
      <c r="N397">
        <v>2138349.12</v>
      </c>
    </row>
    <row r="398" spans="3:14" x14ac:dyDescent="0.2">
      <c r="C398">
        <v>2023</v>
      </c>
      <c r="D398">
        <v>6</v>
      </c>
      <c r="E398">
        <v>8.9499999999999993</v>
      </c>
      <c r="F398">
        <v>715614.47</v>
      </c>
      <c r="G398">
        <v>8.2799999999999994</v>
      </c>
      <c r="H398">
        <v>1094011.8</v>
      </c>
      <c r="I398">
        <v>7.7605310760000004</v>
      </c>
      <c r="J398">
        <v>711038.45160000003</v>
      </c>
      <c r="K398">
        <v>14.89</v>
      </c>
      <c r="L398">
        <v>3744326.61</v>
      </c>
      <c r="M398">
        <v>14.41</v>
      </c>
      <c r="N398">
        <v>2491725.46</v>
      </c>
    </row>
    <row r="399" spans="3:14" x14ac:dyDescent="0.2">
      <c r="C399">
        <v>2023</v>
      </c>
      <c r="D399">
        <v>7</v>
      </c>
      <c r="E399">
        <v>10.66</v>
      </c>
      <c r="F399">
        <v>589406.34</v>
      </c>
      <c r="G399">
        <v>8.24</v>
      </c>
      <c r="H399">
        <v>939992.33</v>
      </c>
      <c r="I399">
        <v>6.7960757579999997</v>
      </c>
      <c r="J399">
        <v>269766.12170000002</v>
      </c>
      <c r="K399">
        <v>14.9</v>
      </c>
      <c r="L399">
        <v>139054.20000000001</v>
      </c>
      <c r="M399">
        <v>2.95</v>
      </c>
      <c r="N399">
        <v>257274.74</v>
      </c>
    </row>
    <row r="400" spans="3:14" x14ac:dyDescent="0.2">
      <c r="C400">
        <v>2023</v>
      </c>
      <c r="D400">
        <v>8</v>
      </c>
      <c r="E400">
        <v>10.29</v>
      </c>
      <c r="F400">
        <v>334410.65999999997</v>
      </c>
      <c r="G400">
        <v>8.8699999999999992</v>
      </c>
      <c r="H400">
        <v>695596.48</v>
      </c>
      <c r="I400">
        <v>6.8060402709999996</v>
      </c>
      <c r="J400">
        <v>108542.2611</v>
      </c>
      <c r="K400">
        <v>15.05</v>
      </c>
      <c r="L400">
        <v>4050387.39</v>
      </c>
      <c r="M400">
        <v>16.95</v>
      </c>
      <c r="N400">
        <v>1567914.72</v>
      </c>
    </row>
    <row r="401" spans="3:14" x14ac:dyDescent="0.2">
      <c r="C401">
        <v>2023</v>
      </c>
      <c r="D401">
        <v>9</v>
      </c>
      <c r="E401">
        <v>8.66</v>
      </c>
      <c r="F401">
        <v>572671.03</v>
      </c>
      <c r="G401">
        <v>11.58</v>
      </c>
      <c r="H401">
        <v>989168.68</v>
      </c>
      <c r="I401">
        <v>15.095012799999999</v>
      </c>
      <c r="J401">
        <v>3218.7451999999998</v>
      </c>
      <c r="K401">
        <v>14.41</v>
      </c>
      <c r="L401">
        <v>137374.28</v>
      </c>
      <c r="M401">
        <v>14.98</v>
      </c>
      <c r="N401">
        <v>1825189.47</v>
      </c>
    </row>
    <row r="402" spans="3:14" x14ac:dyDescent="0.2">
      <c r="C402">
        <v>2023</v>
      </c>
      <c r="D402">
        <v>10</v>
      </c>
      <c r="E402">
        <v>8.6300000000000008</v>
      </c>
      <c r="F402">
        <v>237147.04</v>
      </c>
      <c r="G402">
        <v>8.4700000000000006</v>
      </c>
      <c r="H402">
        <v>562628.97</v>
      </c>
      <c r="I402">
        <v>6.4868962559999996</v>
      </c>
      <c r="J402">
        <v>257702.44099999999</v>
      </c>
      <c r="K402">
        <v>15.36</v>
      </c>
      <c r="L402">
        <v>3291592.46</v>
      </c>
      <c r="M402">
        <v>3.77</v>
      </c>
      <c r="N402">
        <v>289951.62</v>
      </c>
    </row>
    <row r="403" spans="3:14" x14ac:dyDescent="0.2">
      <c r="C403">
        <v>2023</v>
      </c>
      <c r="D403">
        <v>11</v>
      </c>
      <c r="E403">
        <v>10.57</v>
      </c>
      <c r="F403">
        <v>98639.31</v>
      </c>
      <c r="G403">
        <v>11.92</v>
      </c>
      <c r="H403">
        <v>244969.05</v>
      </c>
      <c r="I403">
        <v>2.8142090579999999</v>
      </c>
      <c r="J403">
        <v>144023.4154</v>
      </c>
      <c r="K403">
        <v>12.04</v>
      </c>
      <c r="L403">
        <v>149393.87</v>
      </c>
      <c r="M403">
        <v>15.63</v>
      </c>
      <c r="N403">
        <v>1562806.62</v>
      </c>
    </row>
    <row r="404" spans="3:14" x14ac:dyDescent="0.2">
      <c r="C404">
        <v>2023</v>
      </c>
      <c r="D404">
        <v>12</v>
      </c>
      <c r="E404">
        <v>6.51</v>
      </c>
      <c r="F404">
        <v>115782.47</v>
      </c>
      <c r="G404">
        <v>8.4700000000000006</v>
      </c>
      <c r="H404">
        <v>221677.19</v>
      </c>
      <c r="I404">
        <v>8.1801360019999994</v>
      </c>
      <c r="J404">
        <v>143368.64319999999</v>
      </c>
      <c r="K404">
        <v>15.15</v>
      </c>
      <c r="L404">
        <v>3657654.18</v>
      </c>
      <c r="M404">
        <v>13.44</v>
      </c>
      <c r="N404">
        <v>1912981.84</v>
      </c>
    </row>
    <row r="405" spans="3:14" x14ac:dyDescent="0.2">
      <c r="C405">
        <v>2024</v>
      </c>
      <c r="D405">
        <v>1</v>
      </c>
      <c r="E405">
        <v>8.32</v>
      </c>
      <c r="F405">
        <v>98326.25</v>
      </c>
      <c r="G405">
        <v>5.8</v>
      </c>
      <c r="H405">
        <v>53307.82</v>
      </c>
      <c r="I405">
        <v>8.1382245130000008</v>
      </c>
      <c r="J405">
        <v>320404.03850000002</v>
      </c>
      <c r="K405">
        <v>13.99</v>
      </c>
      <c r="L405">
        <v>134071.76</v>
      </c>
      <c r="M405">
        <v>3.18</v>
      </c>
      <c r="N405">
        <v>60223.6</v>
      </c>
    </row>
    <row r="406" spans="3:14" x14ac:dyDescent="0.2">
      <c r="C406">
        <v>2024</v>
      </c>
      <c r="D406">
        <v>2</v>
      </c>
      <c r="E406">
        <v>8.6999999999999993</v>
      </c>
      <c r="F406">
        <v>40558.480000000003</v>
      </c>
      <c r="G406">
        <v>9.24</v>
      </c>
      <c r="H406">
        <v>114466.3</v>
      </c>
      <c r="I406">
        <v>7.7305949089999997</v>
      </c>
      <c r="J406">
        <v>69022.242960000003</v>
      </c>
      <c r="K406">
        <v>13.78</v>
      </c>
      <c r="L406">
        <v>5039366.6900000004</v>
      </c>
      <c r="M406">
        <v>1.75</v>
      </c>
      <c r="N406">
        <v>107748.6</v>
      </c>
    </row>
    <row r="407" spans="3:14" x14ac:dyDescent="0.2">
      <c r="C407">
        <v>2024</v>
      </c>
      <c r="D407">
        <v>3</v>
      </c>
      <c r="E407">
        <v>10.86</v>
      </c>
      <c r="F407">
        <v>134415.95000000001</v>
      </c>
      <c r="G407">
        <v>11.07</v>
      </c>
      <c r="H407">
        <v>158109.04999999999</v>
      </c>
      <c r="I407">
        <v>7.0180870630000003</v>
      </c>
      <c r="J407">
        <v>318137.68910000002</v>
      </c>
      <c r="K407">
        <v>12.73</v>
      </c>
      <c r="L407">
        <v>185119.74</v>
      </c>
      <c r="M407">
        <v>14.06</v>
      </c>
      <c r="N407">
        <v>692076.52</v>
      </c>
    </row>
    <row r="408" spans="3:14" x14ac:dyDescent="0.2">
      <c r="C408">
        <v>2024</v>
      </c>
      <c r="D408">
        <v>4</v>
      </c>
      <c r="E408">
        <v>7.66</v>
      </c>
      <c r="F408">
        <v>80215.259999999995</v>
      </c>
      <c r="G408">
        <v>9.1300000000000008</v>
      </c>
      <c r="H408">
        <v>34841.879999999997</v>
      </c>
      <c r="I408">
        <v>7.8395143530000002</v>
      </c>
      <c r="J408">
        <v>15844.603940000001</v>
      </c>
      <c r="K408">
        <v>13.99</v>
      </c>
      <c r="L408">
        <v>30842.63</v>
      </c>
      <c r="M408">
        <v>12.4</v>
      </c>
      <c r="N408">
        <v>799825.11</v>
      </c>
    </row>
    <row r="409" spans="3:14" x14ac:dyDescent="0.2">
      <c r="C409">
        <v>2024</v>
      </c>
      <c r="D409">
        <v>5</v>
      </c>
      <c r="E409">
        <v>8.52</v>
      </c>
      <c r="F409">
        <v>75239.42</v>
      </c>
      <c r="G409">
        <v>5.98</v>
      </c>
      <c r="H409">
        <v>302789.73</v>
      </c>
      <c r="I409">
        <v>4.3424878070000004</v>
      </c>
      <c r="J409">
        <v>133787.36470000001</v>
      </c>
      <c r="K409">
        <v>13.77</v>
      </c>
      <c r="L409">
        <v>2406805.7000000002</v>
      </c>
      <c r="M409">
        <v>2.34</v>
      </c>
      <c r="N409">
        <v>58989.02</v>
      </c>
    </row>
    <row r="410" spans="3:14" x14ac:dyDescent="0.2">
      <c r="C410">
        <v>2024</v>
      </c>
      <c r="D410">
        <v>6</v>
      </c>
      <c r="E410">
        <v>8.2200000000000006</v>
      </c>
      <c r="F410">
        <v>450876.56</v>
      </c>
      <c r="G410">
        <v>8.83</v>
      </c>
      <c r="H410">
        <v>1743780.75</v>
      </c>
      <c r="I410">
        <v>6.8582176300000004</v>
      </c>
      <c r="J410">
        <v>673753.91819999996</v>
      </c>
      <c r="K410">
        <v>4.04</v>
      </c>
      <c r="L410">
        <v>14325.62</v>
      </c>
      <c r="M410">
        <v>14.27</v>
      </c>
      <c r="N410">
        <v>918793.02</v>
      </c>
    </row>
    <row r="411" spans="3:14" x14ac:dyDescent="0.2">
      <c r="C411">
        <v>2024</v>
      </c>
      <c r="D411">
        <v>7</v>
      </c>
      <c r="E411">
        <v>10.29</v>
      </c>
      <c r="F411">
        <v>689582.27</v>
      </c>
      <c r="G411">
        <v>9.19</v>
      </c>
      <c r="H411">
        <v>1852462.12</v>
      </c>
      <c r="I411">
        <v>7.584404728</v>
      </c>
      <c r="J411">
        <v>515572.43320000003</v>
      </c>
      <c r="K411">
        <v>13.8</v>
      </c>
      <c r="L411">
        <v>690401</v>
      </c>
      <c r="M411">
        <v>12.65</v>
      </c>
      <c r="N411">
        <v>1075089.56</v>
      </c>
    </row>
    <row r="412" spans="3:14" x14ac:dyDescent="0.2">
      <c r="C412">
        <v>2024</v>
      </c>
      <c r="D412">
        <v>8</v>
      </c>
      <c r="E412">
        <v>8.8699999999999992</v>
      </c>
      <c r="F412">
        <v>520926.29</v>
      </c>
      <c r="G412">
        <v>8.33</v>
      </c>
      <c r="H412">
        <v>1253589.1299999999</v>
      </c>
      <c r="I412">
        <v>8.8088132409999993</v>
      </c>
      <c r="J412">
        <v>117618.6816</v>
      </c>
      <c r="K412">
        <v>14.86</v>
      </c>
      <c r="L412">
        <v>462725.49</v>
      </c>
      <c r="M412">
        <v>3.52</v>
      </c>
      <c r="N412">
        <v>97307.520000000004</v>
      </c>
    </row>
    <row r="413" spans="3:14" x14ac:dyDescent="0.2">
      <c r="C413">
        <v>2024</v>
      </c>
      <c r="D413">
        <v>9</v>
      </c>
      <c r="E413">
        <v>8.11</v>
      </c>
      <c r="F413">
        <v>182882.41</v>
      </c>
      <c r="G413">
        <v>8.6300000000000008</v>
      </c>
      <c r="H413">
        <v>1086090.58</v>
      </c>
      <c r="I413">
        <v>11.189231100000001</v>
      </c>
      <c r="J413">
        <v>19801.896840000001</v>
      </c>
      <c r="K413">
        <v>3.83</v>
      </c>
      <c r="L413">
        <v>40221.089999999997</v>
      </c>
      <c r="M413">
        <v>2.06</v>
      </c>
      <c r="N413">
        <v>128754.22</v>
      </c>
    </row>
    <row r="414" spans="3:14" x14ac:dyDescent="0.2">
      <c r="C414">
        <v>2024</v>
      </c>
      <c r="D414">
        <v>10</v>
      </c>
      <c r="E414">
        <v>15.19</v>
      </c>
      <c r="F414">
        <v>161691.56</v>
      </c>
      <c r="G414">
        <v>8.6</v>
      </c>
      <c r="H414">
        <v>514345.49</v>
      </c>
      <c r="I414">
        <v>5.124093158</v>
      </c>
      <c r="J414">
        <v>110305.9571</v>
      </c>
      <c r="K414">
        <v>13.54</v>
      </c>
      <c r="L414">
        <v>417475.66</v>
      </c>
      <c r="M414">
        <v>10.87</v>
      </c>
      <c r="N414">
        <v>864241.9</v>
      </c>
    </row>
    <row r="415" spans="3:14" x14ac:dyDescent="0.2">
      <c r="C415">
        <v>2024</v>
      </c>
      <c r="D415">
        <v>11</v>
      </c>
      <c r="E415">
        <v>12.73</v>
      </c>
      <c r="F415">
        <v>151545.88</v>
      </c>
      <c r="G415">
        <v>9.35</v>
      </c>
      <c r="H415">
        <v>374054.22</v>
      </c>
      <c r="I415">
        <v>7.8551999769999998</v>
      </c>
      <c r="J415">
        <v>282506.62070000003</v>
      </c>
      <c r="K415">
        <v>4.09</v>
      </c>
      <c r="L415">
        <v>21783.85</v>
      </c>
      <c r="M415">
        <v>12.74</v>
      </c>
      <c r="N415">
        <v>671260.49</v>
      </c>
    </row>
    <row r="416" spans="3:14" x14ac:dyDescent="0.2">
      <c r="C416">
        <v>2024</v>
      </c>
      <c r="D416">
        <v>12</v>
      </c>
      <c r="E416">
        <v>10.029999999999999</v>
      </c>
      <c r="F416">
        <v>51804.26</v>
      </c>
      <c r="G416">
        <v>7.79</v>
      </c>
      <c r="H416">
        <v>433127.13</v>
      </c>
      <c r="I416">
        <v>7.5164853129999996</v>
      </c>
      <c r="J416">
        <v>70274.467120000001</v>
      </c>
      <c r="K416">
        <v>9.3800000000000008</v>
      </c>
      <c r="L416">
        <v>184797.86</v>
      </c>
      <c r="M416">
        <v>8.9600000000000009</v>
      </c>
      <c r="N416">
        <v>64227.19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8456-8558-8043-81FD-62BA14082F8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Lobster_Master_Cleaned</vt:lpstr>
      <vt:lpstr>Sheet4</vt:lpstr>
      <vt:lpstr>Sheet3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Sackton</cp:lastModifiedBy>
  <dcterms:created xsi:type="dcterms:W3CDTF">2025-03-11T14:49:28Z</dcterms:created>
  <dcterms:modified xsi:type="dcterms:W3CDTF">2025-03-15T19:31:45Z</dcterms:modified>
</cp:coreProperties>
</file>