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sackton/Documents/github_seafood_datasearch/data/species/lobster/"/>
    </mc:Choice>
  </mc:AlternateContent>
  <xr:revisionPtr revIDLastSave="0" documentId="8_{12FCA7CF-B395-C146-B541-0F57807157CF}" xr6:coauthVersionLast="47" xr6:coauthVersionMax="47" xr10:uidLastSave="{00000000-0000-0000-0000-000000000000}"/>
  <bookViews>
    <workbookView xWindow="23900" yWindow="16900" windowWidth="25120" windowHeight="17020" xr2:uid="{8A22A670-B47E-AC4C-AC66-43CB461F1025}"/>
  </bookViews>
  <sheets>
    <sheet name="Lobster_Price_Predictions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2" i="1"/>
</calcChain>
</file>

<file path=xl/sharedStrings.xml><?xml version="1.0" encoding="utf-8"?>
<sst xmlns="http://schemas.openxmlformats.org/spreadsheetml/2006/main" count="10" uniqueCount="10">
  <si>
    <t>CA_Export_US_Price_USD</t>
  </si>
  <si>
    <t>CA_Export_US_Share</t>
  </si>
  <si>
    <t>USD_JPY_EXCH</t>
  </si>
  <si>
    <t>USDEUR_EXCH</t>
  </si>
  <si>
    <t>Estimated_Inventory</t>
  </si>
  <si>
    <t>Month_sin</t>
  </si>
  <si>
    <t>Month_cos</t>
  </si>
  <si>
    <t>Shore_Price_Component_USD</t>
  </si>
  <si>
    <t>Predicted_Price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</si>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</sst>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'Lobster_Price_Predictions_2025-'!$B$1</c:f>
              <c:strCache>
                <c:ptCount val="1"/>
                <c:pt idx="0">
                  <c:v> CA_Export_US_Price_USD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'Lobster_Price_Predictions_2025-'!$A$2:$A$114</c:f>
              <c:numCache>
                <c:formatCode>m/d/yy</c:formatCode>
                <c:ptCount val="113"/>
                <c:pt idx="0">
                  <c:v>39417</c:v>
                </c:pt>
                <c:pt idx="1">
                  <c:v>39448</c:v>
                </c:pt>
                <c:pt idx="2">
                  <c:v>39479</c:v>
                </c:pt>
                <c:pt idx="3">
                  <c:v>39508</c:v>
                </c:pt>
                <c:pt idx="4">
                  <c:v>39539</c:v>
                </c:pt>
                <c:pt idx="5">
                  <c:v>39569</c:v>
                </c:pt>
                <c:pt idx="6">
                  <c:v>39600</c:v>
                </c:pt>
                <c:pt idx="7">
                  <c:v>39630</c:v>
                </c:pt>
                <c:pt idx="8">
                  <c:v>39661</c:v>
                </c:pt>
                <c:pt idx="9">
                  <c:v>39692</c:v>
                </c:pt>
                <c:pt idx="10">
                  <c:v>39722</c:v>
                </c:pt>
                <c:pt idx="11">
                  <c:v>39753</c:v>
                </c:pt>
                <c:pt idx="12">
                  <c:v>39783</c:v>
                </c:pt>
                <c:pt idx="13">
                  <c:v>39814</c:v>
                </c:pt>
                <c:pt idx="14">
                  <c:v>39845</c:v>
                </c:pt>
                <c:pt idx="15">
                  <c:v>39873</c:v>
                </c:pt>
                <c:pt idx="16">
                  <c:v>39904</c:v>
                </c:pt>
                <c:pt idx="17">
                  <c:v>39934</c:v>
                </c:pt>
                <c:pt idx="18">
                  <c:v>39965</c:v>
                </c:pt>
                <c:pt idx="19">
                  <c:v>39995</c:v>
                </c:pt>
                <c:pt idx="20">
                  <c:v>40026</c:v>
                </c:pt>
                <c:pt idx="21">
                  <c:v>40057</c:v>
                </c:pt>
                <c:pt idx="22">
                  <c:v>40087</c:v>
                </c:pt>
                <c:pt idx="23">
                  <c:v>40118</c:v>
                </c:pt>
                <c:pt idx="24">
                  <c:v>40148</c:v>
                </c:pt>
                <c:pt idx="25">
                  <c:v>40179</c:v>
                </c:pt>
                <c:pt idx="26">
                  <c:v>40210</c:v>
                </c:pt>
                <c:pt idx="27">
                  <c:v>40238</c:v>
                </c:pt>
                <c:pt idx="28">
                  <c:v>40269</c:v>
                </c:pt>
                <c:pt idx="29">
                  <c:v>40299</c:v>
                </c:pt>
                <c:pt idx="30">
                  <c:v>40330</c:v>
                </c:pt>
                <c:pt idx="31">
                  <c:v>40360</c:v>
                </c:pt>
                <c:pt idx="32">
                  <c:v>40391</c:v>
                </c:pt>
                <c:pt idx="33">
                  <c:v>40422</c:v>
                </c:pt>
                <c:pt idx="34">
                  <c:v>40452</c:v>
                </c:pt>
                <c:pt idx="35">
                  <c:v>40483</c:v>
                </c:pt>
                <c:pt idx="36">
                  <c:v>40513</c:v>
                </c:pt>
                <c:pt idx="37">
                  <c:v>40544</c:v>
                </c:pt>
                <c:pt idx="38">
                  <c:v>40575</c:v>
                </c:pt>
                <c:pt idx="39">
                  <c:v>40603</c:v>
                </c:pt>
                <c:pt idx="40">
                  <c:v>40634</c:v>
                </c:pt>
                <c:pt idx="41">
                  <c:v>40664</c:v>
                </c:pt>
                <c:pt idx="42">
                  <c:v>40695</c:v>
                </c:pt>
                <c:pt idx="43">
                  <c:v>40725</c:v>
                </c:pt>
                <c:pt idx="44">
                  <c:v>40756</c:v>
                </c:pt>
                <c:pt idx="45">
                  <c:v>40787</c:v>
                </c:pt>
                <c:pt idx="46">
                  <c:v>40817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>
                  <c:v>42979</c:v>
                </c:pt>
                <c:pt idx="78">
                  <c:v>43009</c:v>
                </c:pt>
                <c:pt idx="79">
                  <c:v>43040</c:v>
                </c:pt>
                <c:pt idx="80">
                  <c:v>43070</c:v>
                </c:pt>
                <c:pt idx="81">
                  <c:v>43101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43891</c:v>
                </c:pt>
                <c:pt idx="88">
                  <c:v>43922</c:v>
                </c:pt>
                <c:pt idx="89">
                  <c:v>44105</c:v>
                </c:pt>
                <c:pt idx="90">
                  <c:v>44136</c:v>
                </c:pt>
                <c:pt idx="91">
                  <c:v>44166</c:v>
                </c:pt>
                <c:pt idx="92">
                  <c:v>44197</c:v>
                </c:pt>
                <c:pt idx="93">
                  <c:v>44256</c:v>
                </c:pt>
                <c:pt idx="94">
                  <c:v>44287</c:v>
                </c:pt>
                <c:pt idx="95">
                  <c:v>44317</c:v>
                </c:pt>
                <c:pt idx="96">
                  <c:v>44348</c:v>
                </c:pt>
                <c:pt idx="97">
                  <c:v>44470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44774</c:v>
                </c:pt>
                <c:pt idx="102">
                  <c:v>44805</c:v>
                </c:pt>
                <c:pt idx="103">
                  <c:v>44835</c:v>
                </c:pt>
                <c:pt idx="104">
                  <c:v>44866</c:v>
                </c:pt>
                <c:pt idx="105">
                  <c:v>44896</c:v>
                </c:pt>
                <c:pt idx="106">
                  <c:v>44927</c:v>
                </c:pt>
                <c:pt idx="107">
                  <c:v>44958</c:v>
                </c:pt>
                <c:pt idx="108">
                  <c:v>45413</c:v>
                </c:pt>
                <c:pt idx="109">
                  <c:v>45444</c:v>
                </c:pt>
                <c:pt idx="110">
                  <c:v>45566</c:v>
                </c:pt>
                <c:pt idx="111">
                  <c:v>45597</c:v>
                </c:pt>
                <c:pt idx="112">
                  <c:v>45627</c:v>
                </c:pt>
              </c:numCache>
            </c:numRef>
          </c:cat>
          <c:val>
            <c:numRef>
              <c:f>'Lobster_Price_Predictions_2025-'!$B$2:$B$114</c:f>
              <c:numCache>
                <c:formatCode>_("$"* #,##0.00_);_("$"* \(#,##0.00\);_("$"* "-"??_);_(@_)</c:formatCode>
                <c:ptCount val="113"/>
                <c:pt idx="0">
                  <c:v>6.9653727172936799</c:v>
                </c:pt>
                <c:pt idx="1">
                  <c:v>7.2878502822061604</c:v>
                </c:pt>
                <c:pt idx="2">
                  <c:v>7.6807530542759901</c:v>
                </c:pt>
                <c:pt idx="3">
                  <c:v>7.6378502343204699</c:v>
                </c:pt>
                <c:pt idx="4">
                  <c:v>6.2839104271480704</c:v>
                </c:pt>
                <c:pt idx="5">
                  <c:v>6.0042029420594396</c:v>
                </c:pt>
                <c:pt idx="6">
                  <c:v>5.8921896517804404</c:v>
                </c:pt>
                <c:pt idx="7">
                  <c:v>6.5153010858835101</c:v>
                </c:pt>
                <c:pt idx="8">
                  <c:v>7.0906502135737997</c:v>
                </c:pt>
                <c:pt idx="9">
                  <c:v>8.2215082215082198</c:v>
                </c:pt>
                <c:pt idx="10">
                  <c:v>5.6723221068624996</c:v>
                </c:pt>
                <c:pt idx="11">
                  <c:v>4.3381809218634499</c:v>
                </c:pt>
                <c:pt idx="12">
                  <c:v>4.0609548512604396</c:v>
                </c:pt>
                <c:pt idx="13">
                  <c:v>6.0662965382103202</c:v>
                </c:pt>
                <c:pt idx="14">
                  <c:v>6.3845165435271403</c:v>
                </c:pt>
                <c:pt idx="15">
                  <c:v>7.0541716093317497</c:v>
                </c:pt>
                <c:pt idx="16">
                  <c:v>5.5791537330501599</c:v>
                </c:pt>
                <c:pt idx="17">
                  <c:v>4.5628036086051296</c:v>
                </c:pt>
                <c:pt idx="18">
                  <c:v>4.8117897727272698</c:v>
                </c:pt>
                <c:pt idx="19">
                  <c:v>5.4145516074450102</c:v>
                </c:pt>
                <c:pt idx="20">
                  <c:v>5.8314937454010298</c:v>
                </c:pt>
                <c:pt idx="21">
                  <c:v>6.3332100591716003</c:v>
                </c:pt>
                <c:pt idx="22">
                  <c:v>6.1154830757561403</c:v>
                </c:pt>
                <c:pt idx="23">
                  <c:v>4.7578589634664397</c:v>
                </c:pt>
                <c:pt idx="24">
                  <c:v>5.0014235550915798</c:v>
                </c:pt>
                <c:pt idx="25">
                  <c:v>5.1446637286836596</c:v>
                </c:pt>
                <c:pt idx="26">
                  <c:v>5.37268255769958</c:v>
                </c:pt>
                <c:pt idx="27">
                  <c:v>5.1520187701632603</c:v>
                </c:pt>
                <c:pt idx="28">
                  <c:v>4.9343414245921204</c:v>
                </c:pt>
                <c:pt idx="29">
                  <c:v>4.6236662501201602</c:v>
                </c:pt>
                <c:pt idx="30">
                  <c:v>5.1561295296838896</c:v>
                </c:pt>
                <c:pt idx="31">
                  <c:v>5.5555555555555598</c:v>
                </c:pt>
                <c:pt idx="32">
                  <c:v>5.91118800461361</c:v>
                </c:pt>
                <c:pt idx="33">
                  <c:v>6.6989351403678601</c:v>
                </c:pt>
                <c:pt idx="34">
                  <c:v>6.1990372335199897</c:v>
                </c:pt>
                <c:pt idx="35">
                  <c:v>5.5188073847368901</c:v>
                </c:pt>
                <c:pt idx="36">
                  <c:v>5.4756472572165498</c:v>
                </c:pt>
                <c:pt idx="37">
                  <c:v>5.6746151524298201</c:v>
                </c:pt>
                <c:pt idx="38">
                  <c:v>5.5386796273795103</c:v>
                </c:pt>
                <c:pt idx="39">
                  <c:v>5.3860331763260296</c:v>
                </c:pt>
                <c:pt idx="40">
                  <c:v>5.6784968684759898</c:v>
                </c:pt>
                <c:pt idx="41">
                  <c:v>5.4235537190082601</c:v>
                </c:pt>
                <c:pt idx="42">
                  <c:v>5.9287323366782703</c:v>
                </c:pt>
                <c:pt idx="43">
                  <c:v>6.4377682403433498</c:v>
                </c:pt>
                <c:pt idx="44">
                  <c:v>6.7841499439747404</c:v>
                </c:pt>
                <c:pt idx="45">
                  <c:v>7.0124688279301797</c:v>
                </c:pt>
                <c:pt idx="46">
                  <c:v>5.8050598156501296</c:v>
                </c:pt>
                <c:pt idx="47">
                  <c:v>4.53346360527601</c:v>
                </c:pt>
                <c:pt idx="48">
                  <c:v>5.1727541954590297</c:v>
                </c:pt>
                <c:pt idx="49">
                  <c:v>5.7088391692585496</c:v>
                </c:pt>
                <c:pt idx="50">
                  <c:v>6.5506138055946899</c:v>
                </c:pt>
                <c:pt idx="51">
                  <c:v>6.1946011281224802</c:v>
                </c:pt>
                <c:pt idx="52">
                  <c:v>5.7046647519065097</c:v>
                </c:pt>
                <c:pt idx="53">
                  <c:v>5.5058365758754899</c:v>
                </c:pt>
                <c:pt idx="54">
                  <c:v>5.4427134687438397</c:v>
                </c:pt>
                <c:pt idx="55">
                  <c:v>6.2474808544941602</c:v>
                </c:pt>
                <c:pt idx="56">
                  <c:v>6.0206480629663703</c:v>
                </c:pt>
                <c:pt idx="57">
                  <c:v>5.5915721231766602</c:v>
                </c:pt>
                <c:pt idx="58">
                  <c:v>4.42513639119014</c:v>
                </c:pt>
                <c:pt idx="59">
                  <c:v>5.2010885999395198</c:v>
                </c:pt>
                <c:pt idx="60">
                  <c:v>5.6050703109526596</c:v>
                </c:pt>
                <c:pt idx="61">
                  <c:v>7.85825849277626</c:v>
                </c:pt>
                <c:pt idx="62">
                  <c:v>6.9500343575144798</c:v>
                </c:pt>
                <c:pt idx="63">
                  <c:v>5.2765790506080803</c:v>
                </c:pt>
                <c:pt idx="64">
                  <c:v>4.6538685282140797</c:v>
                </c:pt>
                <c:pt idx="65">
                  <c:v>5.5470101903480096</c:v>
                </c:pt>
                <c:pt idx="66">
                  <c:v>6.9121547823373399</c:v>
                </c:pt>
                <c:pt idx="67">
                  <c:v>6.0795674005407498</c:v>
                </c:pt>
                <c:pt idx="68">
                  <c:v>6.5146579804560298</c:v>
                </c:pt>
                <c:pt idx="69">
                  <c:v>6.9108182653999402</c:v>
                </c:pt>
                <c:pt idx="70">
                  <c:v>6.09324511463302</c:v>
                </c:pt>
                <c:pt idx="71">
                  <c:v>6.1260299054012801</c:v>
                </c:pt>
                <c:pt idx="72">
                  <c:v>6.2410384121953104</c:v>
                </c:pt>
                <c:pt idx="73">
                  <c:v>6.5191827135087497</c:v>
                </c:pt>
                <c:pt idx="74">
                  <c:v>6.3482512222640102</c:v>
                </c:pt>
                <c:pt idx="75">
                  <c:v>6.9897557131599699</c:v>
                </c:pt>
                <c:pt idx="76">
                  <c:v>7.2493654822335003</c:v>
                </c:pt>
                <c:pt idx="77">
                  <c:v>6.7350761462659801</c:v>
                </c:pt>
                <c:pt idx="78">
                  <c:v>6.8295391449194902</c:v>
                </c:pt>
                <c:pt idx="79">
                  <c:v>6.3180145619666499</c:v>
                </c:pt>
                <c:pt idx="80">
                  <c:v>6.3278252016602696</c:v>
                </c:pt>
                <c:pt idx="81">
                  <c:v>6.9112559337034396</c:v>
                </c:pt>
                <c:pt idx="82">
                  <c:v>6.1946214829783903</c:v>
                </c:pt>
                <c:pt idx="83">
                  <c:v>6.0266666666666699</c:v>
                </c:pt>
                <c:pt idx="84">
                  <c:v>7.1118556308535696</c:v>
                </c:pt>
                <c:pt idx="85">
                  <c:v>7.6752031896948303</c:v>
                </c:pt>
                <c:pt idx="86">
                  <c:v>8.0481816786865092</c:v>
                </c:pt>
                <c:pt idx="87">
                  <c:v>6.7908309455587403</c:v>
                </c:pt>
                <c:pt idx="88">
                  <c:v>6.0079726651480598</c:v>
                </c:pt>
                <c:pt idx="89">
                  <c:v>9.2222726584959904</c:v>
                </c:pt>
                <c:pt idx="90">
                  <c:v>7.0986001682857802</c:v>
                </c:pt>
                <c:pt idx="91">
                  <c:v>7.3151690217815597</c:v>
                </c:pt>
                <c:pt idx="92">
                  <c:v>7.3948919449901798</c:v>
                </c:pt>
                <c:pt idx="93">
                  <c:v>10.040576020367601</c:v>
                </c:pt>
                <c:pt idx="94">
                  <c:v>9.8047062590043197</c:v>
                </c:pt>
                <c:pt idx="95">
                  <c:v>8.01649484536083</c:v>
                </c:pt>
                <c:pt idx="96">
                  <c:v>8.2487725040916509</c:v>
                </c:pt>
                <c:pt idx="97">
                  <c:v>9.2649187711114696</c:v>
                </c:pt>
                <c:pt idx="98">
                  <c:v>9.7924259229915993</c:v>
                </c:pt>
                <c:pt idx="99">
                  <c:v>9.9284084651089604</c:v>
                </c:pt>
                <c:pt idx="100">
                  <c:v>9.0363349131121602</c:v>
                </c:pt>
                <c:pt idx="101">
                  <c:v>8.3068824030347592</c:v>
                </c:pt>
                <c:pt idx="102">
                  <c:v>8.2839793087937608</c:v>
                </c:pt>
                <c:pt idx="103">
                  <c:v>7.2174738841405501</c:v>
                </c:pt>
                <c:pt idx="104">
                  <c:v>6.67310693319462</c:v>
                </c:pt>
                <c:pt idx="105">
                  <c:v>7.1843945528155997</c:v>
                </c:pt>
                <c:pt idx="106">
                  <c:v>7.6665176575771099</c:v>
                </c:pt>
                <c:pt idx="107">
                  <c:v>9.3875427382191194</c:v>
                </c:pt>
                <c:pt idx="108">
                  <c:v>7.1412892368478804</c:v>
                </c:pt>
                <c:pt idx="109">
                  <c:v>6.2604888726742098</c:v>
                </c:pt>
                <c:pt idx="110">
                  <c:v>9.4351966271716208</c:v>
                </c:pt>
                <c:pt idx="111">
                  <c:v>9.7974665426179097</c:v>
                </c:pt>
                <c:pt idx="112">
                  <c:v>9.4897171334316006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B-BC4E-9483-295577DA5A54}"/>
            </c:ext>
          </c:extLst>
        </c:ser>
        <c:ser>
          <c:idx val="1"/>
          <c:order val="1"/>
          <c:tx>
            <c:strRef>
              <c:f>'Lobster_Price_Predictions_2025-'!$C$1</c:f>
              <c:strCache>
                <c:ptCount val="1"/>
                <c:pt idx="0">
                  <c:v>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'Lobster_Price_Predictions_2025-'!$A$2:$A$114</c:f>
              <c:numCache>
                <c:formatCode>m/d/yy</c:formatCode>
                <c:ptCount val="113"/>
                <c:pt idx="0">
                  <c:v>39417</c:v>
                </c:pt>
                <c:pt idx="1">
                  <c:v>39448</c:v>
                </c:pt>
                <c:pt idx="2">
                  <c:v>39479</c:v>
                </c:pt>
                <c:pt idx="3">
                  <c:v>39508</c:v>
                </c:pt>
                <c:pt idx="4">
                  <c:v>39539</c:v>
                </c:pt>
                <c:pt idx="5">
                  <c:v>39569</c:v>
                </c:pt>
                <c:pt idx="6">
                  <c:v>39600</c:v>
                </c:pt>
                <c:pt idx="7">
                  <c:v>39630</c:v>
                </c:pt>
                <c:pt idx="8">
                  <c:v>39661</c:v>
                </c:pt>
                <c:pt idx="9">
                  <c:v>39692</c:v>
                </c:pt>
                <c:pt idx="10">
                  <c:v>39722</c:v>
                </c:pt>
                <c:pt idx="11">
                  <c:v>39753</c:v>
                </c:pt>
                <c:pt idx="12">
                  <c:v>39783</c:v>
                </c:pt>
                <c:pt idx="13">
                  <c:v>39814</c:v>
                </c:pt>
                <c:pt idx="14">
                  <c:v>39845</c:v>
                </c:pt>
                <c:pt idx="15">
                  <c:v>39873</c:v>
                </c:pt>
                <c:pt idx="16">
                  <c:v>39904</c:v>
                </c:pt>
                <c:pt idx="17">
                  <c:v>39934</c:v>
                </c:pt>
                <c:pt idx="18">
                  <c:v>39965</c:v>
                </c:pt>
                <c:pt idx="19">
                  <c:v>39995</c:v>
                </c:pt>
                <c:pt idx="20">
                  <c:v>40026</c:v>
                </c:pt>
                <c:pt idx="21">
                  <c:v>40057</c:v>
                </c:pt>
                <c:pt idx="22">
                  <c:v>40087</c:v>
                </c:pt>
                <c:pt idx="23">
                  <c:v>40118</c:v>
                </c:pt>
                <c:pt idx="24">
                  <c:v>40148</c:v>
                </c:pt>
                <c:pt idx="25">
                  <c:v>40179</c:v>
                </c:pt>
                <c:pt idx="26">
                  <c:v>40210</c:v>
                </c:pt>
                <c:pt idx="27">
                  <c:v>40238</c:v>
                </c:pt>
                <c:pt idx="28">
                  <c:v>40269</c:v>
                </c:pt>
                <c:pt idx="29">
                  <c:v>40299</c:v>
                </c:pt>
                <c:pt idx="30">
                  <c:v>40330</c:v>
                </c:pt>
                <c:pt idx="31">
                  <c:v>40360</c:v>
                </c:pt>
                <c:pt idx="32">
                  <c:v>40391</c:v>
                </c:pt>
                <c:pt idx="33">
                  <c:v>40422</c:v>
                </c:pt>
                <c:pt idx="34">
                  <c:v>40452</c:v>
                </c:pt>
                <c:pt idx="35">
                  <c:v>40483</c:v>
                </c:pt>
                <c:pt idx="36">
                  <c:v>40513</c:v>
                </c:pt>
                <c:pt idx="37">
                  <c:v>40544</c:v>
                </c:pt>
                <c:pt idx="38">
                  <c:v>40575</c:v>
                </c:pt>
                <c:pt idx="39">
                  <c:v>40603</c:v>
                </c:pt>
                <c:pt idx="40">
                  <c:v>40634</c:v>
                </c:pt>
                <c:pt idx="41">
                  <c:v>40664</c:v>
                </c:pt>
                <c:pt idx="42">
                  <c:v>40695</c:v>
                </c:pt>
                <c:pt idx="43">
                  <c:v>40725</c:v>
                </c:pt>
                <c:pt idx="44">
                  <c:v>40756</c:v>
                </c:pt>
                <c:pt idx="45">
                  <c:v>40787</c:v>
                </c:pt>
                <c:pt idx="46">
                  <c:v>40817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>
                  <c:v>42979</c:v>
                </c:pt>
                <c:pt idx="78">
                  <c:v>43009</c:v>
                </c:pt>
                <c:pt idx="79">
                  <c:v>43040</c:v>
                </c:pt>
                <c:pt idx="80">
                  <c:v>43070</c:v>
                </c:pt>
                <c:pt idx="81">
                  <c:v>43101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43891</c:v>
                </c:pt>
                <c:pt idx="88">
                  <c:v>43922</c:v>
                </c:pt>
                <c:pt idx="89">
                  <c:v>44105</c:v>
                </c:pt>
                <c:pt idx="90">
                  <c:v>44136</c:v>
                </c:pt>
                <c:pt idx="91">
                  <c:v>44166</c:v>
                </c:pt>
                <c:pt idx="92">
                  <c:v>44197</c:v>
                </c:pt>
                <c:pt idx="93">
                  <c:v>44256</c:v>
                </c:pt>
                <c:pt idx="94">
                  <c:v>44287</c:v>
                </c:pt>
                <c:pt idx="95">
                  <c:v>44317</c:v>
                </c:pt>
                <c:pt idx="96">
                  <c:v>44348</c:v>
                </c:pt>
                <c:pt idx="97">
                  <c:v>44470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44774</c:v>
                </c:pt>
                <c:pt idx="102">
                  <c:v>44805</c:v>
                </c:pt>
                <c:pt idx="103">
                  <c:v>44835</c:v>
                </c:pt>
                <c:pt idx="104">
                  <c:v>44866</c:v>
                </c:pt>
                <c:pt idx="105">
                  <c:v>44896</c:v>
                </c:pt>
                <c:pt idx="106">
                  <c:v>44927</c:v>
                </c:pt>
                <c:pt idx="107">
                  <c:v>44958</c:v>
                </c:pt>
                <c:pt idx="108">
                  <c:v>45413</c:v>
                </c:pt>
                <c:pt idx="109">
                  <c:v>45444</c:v>
                </c:pt>
                <c:pt idx="110">
                  <c:v>45566</c:v>
                </c:pt>
                <c:pt idx="111">
                  <c:v>45597</c:v>
                </c:pt>
                <c:pt idx="112">
                  <c:v>45627</c:v>
                </c:pt>
              </c:numCache>
            </c:numRef>
          </c:cat>
          <c:val>
            <c:numRef>
              <c:f>'Lobster_Price_Predictions_2025-'!$C$2:$C$114</c:f>
              <c:numCache>
                <c:formatCode>_("$"* #,##0.00_);_("$"* \(#,##0.00\);_("$"* "-"??_);_(@_)</c:formatCode>
                <c:ptCount val="113"/>
                <c:pt idx="0">
                  <c:v>6.4805056910233798</c:v>
                </c:pt>
                <c:pt idx="1">
                  <c:v>6.8564065040541999</c:v>
                </c:pt>
                <c:pt idx="2">
                  <c:v>7.0070441809258703</c:v>
                </c:pt>
                <c:pt idx="3">
                  <c:v>7.4042224929891303</c:v>
                </c:pt>
                <c:pt idx="4">
                  <c:v>6.8316363478384998</c:v>
                </c:pt>
                <c:pt idx="5">
                  <c:v>6.3101018295765599</c:v>
                </c:pt>
                <c:pt idx="6">
                  <c:v>6.3004026968931601</c:v>
                </c:pt>
                <c:pt idx="7">
                  <c:v>6.5635557821050297</c:v>
                </c:pt>
                <c:pt idx="8">
                  <c:v>6.3890908830461202</c:v>
                </c:pt>
                <c:pt idx="9">
                  <c:v>7.0030877925419004</c:v>
                </c:pt>
                <c:pt idx="10">
                  <c:v>5.8442373359655901</c:v>
                </c:pt>
                <c:pt idx="11">
                  <c:v>4.4755034256053099</c:v>
                </c:pt>
                <c:pt idx="12">
                  <c:v>4.6519771696236099</c:v>
                </c:pt>
                <c:pt idx="13">
                  <c:v>5.6031098536314898</c:v>
                </c:pt>
                <c:pt idx="14">
                  <c:v>5.6533326716987604</c:v>
                </c:pt>
                <c:pt idx="15">
                  <c:v>6.3323598953981204</c:v>
                </c:pt>
                <c:pt idx="16">
                  <c:v>5.5535083070644502</c:v>
                </c:pt>
                <c:pt idx="17">
                  <c:v>5.1537655625376901</c:v>
                </c:pt>
                <c:pt idx="18">
                  <c:v>5.2769266775372197</c:v>
                </c:pt>
                <c:pt idx="19">
                  <c:v>5.8218353292329601</c:v>
                </c:pt>
                <c:pt idx="20">
                  <c:v>5.4406947870975602</c:v>
                </c:pt>
                <c:pt idx="21">
                  <c:v>6.2971874426897099</c:v>
                </c:pt>
                <c:pt idx="22">
                  <c:v>6.4538711873038404</c:v>
                </c:pt>
                <c:pt idx="23">
                  <c:v>5.4000261963047302</c:v>
                </c:pt>
                <c:pt idx="24">
                  <c:v>5.4125948918434803</c:v>
                </c:pt>
                <c:pt idx="25">
                  <c:v>5.5478538797219903</c:v>
                </c:pt>
                <c:pt idx="26">
                  <c:v>5.4429052214416496</c:v>
                </c:pt>
                <c:pt idx="27">
                  <c:v>5.6392790521848299</c:v>
                </c:pt>
                <c:pt idx="28">
                  <c:v>5.3647895525620104</c:v>
                </c:pt>
                <c:pt idx="29">
                  <c:v>4.7940065320263701</c:v>
                </c:pt>
                <c:pt idx="30">
                  <c:v>5.0290138121965899</c:v>
                </c:pt>
                <c:pt idx="31">
                  <c:v>5.6369198246676904</c:v>
                </c:pt>
                <c:pt idx="32">
                  <c:v>5.6042115502580501</c:v>
                </c:pt>
                <c:pt idx="33">
                  <c:v>6.98832569900756</c:v>
                </c:pt>
                <c:pt idx="34">
                  <c:v>6.4255323326122697</c:v>
                </c:pt>
                <c:pt idx="35">
                  <c:v>5.5149151494223796</c:v>
                </c:pt>
                <c:pt idx="36">
                  <c:v>5.35384691038431</c:v>
                </c:pt>
                <c:pt idx="37">
                  <c:v>5.69840258663036</c:v>
                </c:pt>
                <c:pt idx="38">
                  <c:v>5.6895707624369898</c:v>
                </c:pt>
                <c:pt idx="39">
                  <c:v>5.9452606154649397</c:v>
                </c:pt>
                <c:pt idx="40">
                  <c:v>6.1476732720631801</c:v>
                </c:pt>
                <c:pt idx="41">
                  <c:v>5.5909454787602897</c:v>
                </c:pt>
                <c:pt idx="42">
                  <c:v>5.9863012852732904</c:v>
                </c:pt>
                <c:pt idx="43">
                  <c:v>6.10922979686889</c:v>
                </c:pt>
                <c:pt idx="44">
                  <c:v>6.1641139358028303</c:v>
                </c:pt>
                <c:pt idx="45">
                  <c:v>6.81150752632358</c:v>
                </c:pt>
                <c:pt idx="46">
                  <c:v>6.40521261642425</c:v>
                </c:pt>
                <c:pt idx="47">
                  <c:v>4.6418595671594103</c:v>
                </c:pt>
                <c:pt idx="48">
                  <c:v>5.50289192001153</c:v>
                </c:pt>
                <c:pt idx="49">
                  <c:v>5.9078649352864803</c:v>
                </c:pt>
                <c:pt idx="50">
                  <c:v>6.3594976349635104</c:v>
                </c:pt>
                <c:pt idx="51">
                  <c:v>6.0685571613254501</c:v>
                </c:pt>
                <c:pt idx="52">
                  <c:v>5.4348816823563402</c:v>
                </c:pt>
                <c:pt idx="53">
                  <c:v>5.5392490210796996</c:v>
                </c:pt>
                <c:pt idx="54">
                  <c:v>5.4158452186441801</c:v>
                </c:pt>
                <c:pt idx="55">
                  <c:v>5.3718703169023998</c:v>
                </c:pt>
                <c:pt idx="56">
                  <c:v>6.2093650003651</c:v>
                </c:pt>
                <c:pt idx="57">
                  <c:v>5.45709169919086</c:v>
                </c:pt>
                <c:pt idx="58">
                  <c:v>4.69505171118369</c:v>
                </c:pt>
                <c:pt idx="59">
                  <c:v>5.5019836627859799</c:v>
                </c:pt>
                <c:pt idx="60">
                  <c:v>5.7953868444069503</c:v>
                </c:pt>
                <c:pt idx="61">
                  <c:v>6.78206791708996</c:v>
                </c:pt>
                <c:pt idx="62">
                  <c:v>6.5372545681963201</c:v>
                </c:pt>
                <c:pt idx="63">
                  <c:v>5.39538200167841</c:v>
                </c:pt>
                <c:pt idx="64">
                  <c:v>5.44670331546852</c:v>
                </c:pt>
                <c:pt idx="65">
                  <c:v>5.5818315137917498</c:v>
                </c:pt>
                <c:pt idx="66">
                  <c:v>6.2255611653790197</c:v>
                </c:pt>
                <c:pt idx="67">
                  <c:v>6.0825835972864697</c:v>
                </c:pt>
                <c:pt idx="68">
                  <c:v>6.3881593848104901</c:v>
                </c:pt>
                <c:pt idx="69">
                  <c:v>6.8839911153598798</c:v>
                </c:pt>
                <c:pt idx="70">
                  <c:v>6.3730176830912004</c:v>
                </c:pt>
                <c:pt idx="71">
                  <c:v>7.0173985262066303</c:v>
                </c:pt>
                <c:pt idx="72">
                  <c:v>6.4435175488251497</c:v>
                </c:pt>
                <c:pt idx="73">
                  <c:v>6.6250051543172201</c:v>
                </c:pt>
                <c:pt idx="74">
                  <c:v>6.0501143212379001</c:v>
                </c:pt>
                <c:pt idx="75">
                  <c:v>7.05491795422168</c:v>
                </c:pt>
                <c:pt idx="76">
                  <c:v>6.6883986724294804</c:v>
                </c:pt>
                <c:pt idx="77">
                  <c:v>6.7452703665734299</c:v>
                </c:pt>
                <c:pt idx="78">
                  <c:v>6.4718126302241297</c:v>
                </c:pt>
                <c:pt idx="79">
                  <c:v>5.8130546592400298</c:v>
                </c:pt>
                <c:pt idx="80">
                  <c:v>6.0046111387278902</c:v>
                </c:pt>
                <c:pt idx="81">
                  <c:v>6.8866318160530202</c:v>
                </c:pt>
                <c:pt idx="82">
                  <c:v>6.3310965127925796</c:v>
                </c:pt>
                <c:pt idx="83">
                  <c:v>6.0602437285247097</c:v>
                </c:pt>
                <c:pt idx="84">
                  <c:v>7.3406357492591203</c:v>
                </c:pt>
                <c:pt idx="85">
                  <c:v>7.1959864470660104</c:v>
                </c:pt>
                <c:pt idx="86">
                  <c:v>7.5269165163138103</c:v>
                </c:pt>
                <c:pt idx="87">
                  <c:v>6.0547914111913599</c:v>
                </c:pt>
                <c:pt idx="88">
                  <c:v>6.5490939354016602</c:v>
                </c:pt>
                <c:pt idx="89">
                  <c:v>9.0972800662454905</c:v>
                </c:pt>
                <c:pt idx="90">
                  <c:v>7.19818591896823</c:v>
                </c:pt>
                <c:pt idx="91">
                  <c:v>7.0511746409675604</c:v>
                </c:pt>
                <c:pt idx="92">
                  <c:v>8.2636498612768907</c:v>
                </c:pt>
                <c:pt idx="93">
                  <c:v>10.4765008540452</c:v>
                </c:pt>
                <c:pt idx="94">
                  <c:v>9.2171121849861102</c:v>
                </c:pt>
                <c:pt idx="95">
                  <c:v>7.5842556710870896</c:v>
                </c:pt>
                <c:pt idx="96">
                  <c:v>8.1023032449559693</c:v>
                </c:pt>
                <c:pt idx="97">
                  <c:v>9.4020774812370593</c:v>
                </c:pt>
                <c:pt idx="98">
                  <c:v>8.3774824194126598</c:v>
                </c:pt>
                <c:pt idx="99">
                  <c:v>8.45213314718786</c:v>
                </c:pt>
                <c:pt idx="100">
                  <c:v>8.7103629727614393</c:v>
                </c:pt>
                <c:pt idx="101">
                  <c:v>8.4453854402761994</c:v>
                </c:pt>
                <c:pt idx="102">
                  <c:v>8.2033596917174698</c:v>
                </c:pt>
                <c:pt idx="103">
                  <c:v>8.4209832586043003</c:v>
                </c:pt>
                <c:pt idx="104">
                  <c:v>8.0724765066483002</c:v>
                </c:pt>
                <c:pt idx="105">
                  <c:v>7.7821584269479898</c:v>
                </c:pt>
                <c:pt idx="106">
                  <c:v>9.5447922581915297</c:v>
                </c:pt>
                <c:pt idx="107">
                  <c:v>10.453703898604299</c:v>
                </c:pt>
                <c:pt idx="108">
                  <c:v>7.4170610528377203</c:v>
                </c:pt>
                <c:pt idx="109">
                  <c:v>6.9974872801458003</c:v>
                </c:pt>
                <c:pt idx="110">
                  <c:v>9.5140624350531908</c:v>
                </c:pt>
                <c:pt idx="111">
                  <c:v>8.1468113799689004</c:v>
                </c:pt>
                <c:pt idx="112">
                  <c:v>8.3399532092298596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B-BC4E-9483-295577DA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628992"/>
        <c:axId val="1616599248"/>
      </c:lineChart>
      <c:dateAx>
        <c:axId val="16166289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99248"/>
        <c:crosses val="autoZero"/>
        <c:auto val="1"/>
        <c:lblOffset val="100"/>
        <c:baseTimeUnit val="months"/>
      </c:dateAx>
      <c:valAx>
        <c:axId val="16165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6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104</xdr:row>
      <xdr:rowOff>101600</xdr:rowOff>
    </xdr:from>
    <xdr:to>
      <xdr:col>14</xdr:col>
      <xdr:colOff>609600</xdr:colOff>
      <xdr:row>133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3F58A-C76C-8405-D878-D3F8B2E91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0CD1-1C37-0D45-AE5B-3FEE9DF72320}">
  <dimension ref="A1:K114"/>
  <sheetViews>
    <sheetView tabSelected="1" topLeftCell="A104" workbookViewId="0">
      <selection sqref="A1:C114"/>
    </sheetView>
  </sheetViews>
  <sheetFormatPr baseColWidth="10" defaultRowHeight="16" x14ac:dyDescent="0.2"/>
  <cols>
    <col min="2" max="2" width="10.83203125" style="3"/>
  </cols>
  <sheetData>
    <row r="1" spans="1:11" x14ac:dyDescent="0.2">
      <c r="B1" s="3" t="s">
        <v>0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s="1">
        <v>39417</v>
      </c>
      <c r="B2" s="3">
        <v>6.9653727172936799</v>
      </c>
      <c r="C2" s="3">
        <f>K2</f>
        <v>6.4805056910233798</v>
      </c>
      <c r="D2">
        <v>0.76029999999999998</v>
      </c>
      <c r="E2">
        <v>112.449</v>
      </c>
      <c r="F2">
        <v>1.4559</v>
      </c>
      <c r="G2">
        <v>21250000</v>
      </c>
      <c r="H2" s="2">
        <v>-2.4492935982947099E-16</v>
      </c>
      <c r="I2">
        <v>1</v>
      </c>
      <c r="J2">
        <v>7.8239225378695103</v>
      </c>
      <c r="K2">
        <v>6.4805056910233798</v>
      </c>
    </row>
    <row r="3" spans="1:11" x14ac:dyDescent="0.2">
      <c r="A3" s="1">
        <v>39448</v>
      </c>
      <c r="B3" s="3">
        <v>7.2878502822061604</v>
      </c>
      <c r="C3" s="3">
        <f t="shared" ref="C3:C66" si="0">K3</f>
        <v>6.8564065040541999</v>
      </c>
      <c r="D3">
        <v>0.79320000000000002</v>
      </c>
      <c r="E3">
        <v>107.8181</v>
      </c>
      <c r="F3">
        <v>1.4728000000000001</v>
      </c>
      <c r="G3">
        <v>16875000</v>
      </c>
      <c r="H3">
        <v>0.5</v>
      </c>
      <c r="I3">
        <v>0.86602540378443904</v>
      </c>
      <c r="J3">
        <v>9.0733279992178701</v>
      </c>
      <c r="K3">
        <v>6.8564065040541999</v>
      </c>
    </row>
    <row r="4" spans="1:11" x14ac:dyDescent="0.2">
      <c r="A4" s="1">
        <v>39479</v>
      </c>
      <c r="B4" s="3">
        <v>7.6807530542759901</v>
      </c>
      <c r="C4" s="3">
        <f t="shared" si="0"/>
        <v>7.0070441809258703</v>
      </c>
      <c r="D4">
        <v>0.82669999999999999</v>
      </c>
      <c r="E4">
        <v>107.03</v>
      </c>
      <c r="F4">
        <v>1.4759</v>
      </c>
      <c r="G4">
        <v>11500000</v>
      </c>
      <c r="H4">
        <v>0.86602540378443904</v>
      </c>
      <c r="I4">
        <v>0.5</v>
      </c>
      <c r="J4">
        <v>9.4933657724275093</v>
      </c>
      <c r="K4">
        <v>7.0070441809258703</v>
      </c>
    </row>
    <row r="5" spans="1:11" x14ac:dyDescent="0.2">
      <c r="A5" s="1">
        <v>39508</v>
      </c>
      <c r="B5" s="3">
        <v>7.6378502343204699</v>
      </c>
      <c r="C5" s="3">
        <f t="shared" si="0"/>
        <v>7.4042224929891303</v>
      </c>
      <c r="D5">
        <v>0.78979999999999995</v>
      </c>
      <c r="E5">
        <v>100.75620000000001</v>
      </c>
      <c r="F5">
        <v>1.552</v>
      </c>
      <c r="G5">
        <v>6062500</v>
      </c>
      <c r="H5">
        <v>1</v>
      </c>
      <c r="I5" s="2">
        <v>6.1232339957367697E-17</v>
      </c>
      <c r="J5">
        <v>9.3977050003778899</v>
      </c>
      <c r="K5">
        <v>7.4042224929891303</v>
      </c>
    </row>
    <row r="6" spans="1:11" x14ac:dyDescent="0.2">
      <c r="A6" s="1">
        <v>39539</v>
      </c>
      <c r="B6" s="3">
        <v>6.2839104271480704</v>
      </c>
      <c r="C6" s="3">
        <f t="shared" si="0"/>
        <v>6.8316363478384998</v>
      </c>
      <c r="D6">
        <v>0.79849999999999999</v>
      </c>
      <c r="E6">
        <v>102.6777</v>
      </c>
      <c r="F6">
        <v>1.5753999999999999</v>
      </c>
      <c r="G6">
        <v>2593750</v>
      </c>
      <c r="H6">
        <v>0.86602540378443904</v>
      </c>
      <c r="I6">
        <v>-0.5</v>
      </c>
      <c r="J6">
        <v>7.0275579304788103</v>
      </c>
      <c r="K6">
        <v>6.8316363478384998</v>
      </c>
    </row>
    <row r="7" spans="1:11" x14ac:dyDescent="0.2">
      <c r="A7" s="1">
        <v>39569</v>
      </c>
      <c r="B7" s="3">
        <v>6.0042029420594396</v>
      </c>
      <c r="C7" s="3">
        <f t="shared" si="0"/>
        <v>6.3101018295765599</v>
      </c>
      <c r="D7">
        <v>0.86160000000000003</v>
      </c>
      <c r="E7">
        <v>104.3595</v>
      </c>
      <c r="F7">
        <v>1.5553999999999999</v>
      </c>
      <c r="G7">
        <v>4516667.5</v>
      </c>
      <c r="H7">
        <v>0.5</v>
      </c>
      <c r="I7">
        <v>-0.86602540378443904</v>
      </c>
      <c r="J7">
        <v>6.4255952686085003</v>
      </c>
      <c r="K7">
        <v>6.3101018295765599</v>
      </c>
    </row>
    <row r="8" spans="1:11" x14ac:dyDescent="0.2">
      <c r="A8" s="1">
        <v>39600</v>
      </c>
      <c r="B8" s="3">
        <v>5.8921896517804404</v>
      </c>
      <c r="C8" s="3">
        <f t="shared" si="0"/>
        <v>6.3004026968931601</v>
      </c>
      <c r="D8">
        <v>0.85550000000000004</v>
      </c>
      <c r="E8">
        <v>106.9152</v>
      </c>
      <c r="F8">
        <v>1.5562</v>
      </c>
      <c r="G8">
        <v>19718750</v>
      </c>
      <c r="H8" s="2">
        <v>1.22464679914735E-16</v>
      </c>
      <c r="I8">
        <v>-1</v>
      </c>
      <c r="J8">
        <v>6.2484767436421098</v>
      </c>
      <c r="K8">
        <v>6.3004026968931601</v>
      </c>
    </row>
    <row r="9" spans="1:11" x14ac:dyDescent="0.2">
      <c r="A9" s="1">
        <v>39630</v>
      </c>
      <c r="B9" s="3">
        <v>6.5153010858835101</v>
      </c>
      <c r="C9" s="3">
        <f t="shared" si="0"/>
        <v>6.5635557821050297</v>
      </c>
      <c r="D9">
        <v>0.81640000000000001</v>
      </c>
      <c r="E9">
        <v>106.8518</v>
      </c>
      <c r="F9">
        <v>1.5759000000000001</v>
      </c>
      <c r="G9">
        <v>25625000</v>
      </c>
      <c r="H9">
        <v>-0.5</v>
      </c>
      <c r="I9">
        <v>-0.86602540378443904</v>
      </c>
      <c r="J9">
        <v>7.0052093942673297</v>
      </c>
      <c r="K9">
        <v>6.5635557821050297</v>
      </c>
    </row>
    <row r="10" spans="1:11" x14ac:dyDescent="0.2">
      <c r="A10" s="1">
        <v>39661</v>
      </c>
      <c r="B10" s="3">
        <v>7.0906502135737997</v>
      </c>
      <c r="C10" s="3">
        <f t="shared" si="0"/>
        <v>6.3890908830461202</v>
      </c>
      <c r="D10">
        <v>0.66610000000000003</v>
      </c>
      <c r="E10">
        <v>109.36239999999999</v>
      </c>
      <c r="F10">
        <v>1.4955000000000001</v>
      </c>
      <c r="G10">
        <v>14667808.5</v>
      </c>
      <c r="H10">
        <v>-0.86602540378443804</v>
      </c>
      <c r="I10">
        <v>-0.5</v>
      </c>
      <c r="J10">
        <v>5.7287900746564597</v>
      </c>
      <c r="K10">
        <v>6.3890908830461202</v>
      </c>
    </row>
    <row r="11" spans="1:11" x14ac:dyDescent="0.2">
      <c r="A11" s="1">
        <v>39692</v>
      </c>
      <c r="B11" s="3">
        <v>8.2215082215082198</v>
      </c>
      <c r="C11" s="3">
        <f t="shared" si="0"/>
        <v>7.0030877925419004</v>
      </c>
      <c r="D11">
        <v>0.44650000000000001</v>
      </c>
      <c r="E11">
        <v>106.5748</v>
      </c>
      <c r="F11">
        <v>1.4341999999999999</v>
      </c>
      <c r="G11">
        <v>7917186.7999999998</v>
      </c>
      <c r="H11">
        <v>-1</v>
      </c>
      <c r="I11" s="2">
        <v>-1.8369701987210299E-16</v>
      </c>
      <c r="J11">
        <v>5.8335589985998899</v>
      </c>
      <c r="K11">
        <v>7.0030877925419004</v>
      </c>
    </row>
    <row r="12" spans="1:11" x14ac:dyDescent="0.2">
      <c r="A12" s="1">
        <v>39722</v>
      </c>
      <c r="B12" s="3">
        <v>5.6723221068624996</v>
      </c>
      <c r="C12" s="3">
        <f t="shared" si="0"/>
        <v>5.8442373359655901</v>
      </c>
      <c r="D12">
        <v>0.53800000000000003</v>
      </c>
      <c r="E12">
        <v>99.965900000000005</v>
      </c>
      <c r="F12">
        <v>1.3266</v>
      </c>
      <c r="G12">
        <v>3400000</v>
      </c>
      <c r="H12">
        <v>-0.86602540378443904</v>
      </c>
      <c r="I12">
        <v>0.5</v>
      </c>
      <c r="J12">
        <v>4.8733653626924296</v>
      </c>
      <c r="K12">
        <v>5.8442373359655901</v>
      </c>
    </row>
    <row r="13" spans="1:11" x14ac:dyDescent="0.2">
      <c r="A13" s="1">
        <v>39753</v>
      </c>
      <c r="B13" s="3">
        <v>4.3381809218634499</v>
      </c>
      <c r="C13" s="3">
        <f t="shared" si="0"/>
        <v>4.4755034256053099</v>
      </c>
      <c r="D13">
        <v>0.76900000000000002</v>
      </c>
      <c r="E13">
        <v>96.965599999999995</v>
      </c>
      <c r="F13">
        <v>1.2744</v>
      </c>
      <c r="G13">
        <v>2833333.3</v>
      </c>
      <c r="H13">
        <v>-0.5</v>
      </c>
      <c r="I13">
        <v>0.86602540378443804</v>
      </c>
      <c r="J13">
        <v>4.2454950908251599</v>
      </c>
      <c r="K13">
        <v>4.4755034256053099</v>
      </c>
    </row>
    <row r="14" spans="1:11" x14ac:dyDescent="0.2">
      <c r="A14" s="1">
        <v>39783</v>
      </c>
      <c r="B14" s="3">
        <v>4.0609548512604396</v>
      </c>
      <c r="C14" s="3">
        <f t="shared" si="0"/>
        <v>4.6519771696236099</v>
      </c>
      <c r="D14">
        <v>0.80289999999999995</v>
      </c>
      <c r="E14">
        <v>91.275000000000006</v>
      </c>
      <c r="F14">
        <v>1.3511</v>
      </c>
      <c r="G14">
        <v>19187500</v>
      </c>
      <c r="H14" s="2">
        <v>-2.4492935982947099E-16</v>
      </c>
      <c r="I14">
        <v>1</v>
      </c>
      <c r="J14">
        <v>3.8533004045066401</v>
      </c>
      <c r="K14">
        <v>4.6519771696236099</v>
      </c>
    </row>
    <row r="15" spans="1:11" x14ac:dyDescent="0.2">
      <c r="A15" s="1">
        <v>39814</v>
      </c>
      <c r="B15" s="3">
        <v>6.0662965382103202</v>
      </c>
      <c r="C15" s="3">
        <f t="shared" si="0"/>
        <v>5.6031098536314898</v>
      </c>
      <c r="D15">
        <v>0.8196</v>
      </c>
      <c r="E15">
        <v>90.120500000000007</v>
      </c>
      <c r="F15">
        <v>1.3244</v>
      </c>
      <c r="G15">
        <v>16375000</v>
      </c>
      <c r="H15">
        <v>0.5</v>
      </c>
      <c r="I15">
        <v>0.86602540378443904</v>
      </c>
      <c r="J15">
        <v>7.0988421496893599</v>
      </c>
      <c r="K15">
        <v>5.6031098536314898</v>
      </c>
    </row>
    <row r="16" spans="1:11" x14ac:dyDescent="0.2">
      <c r="A16" s="1">
        <v>39845</v>
      </c>
      <c r="B16" s="3">
        <v>6.3845165435271403</v>
      </c>
      <c r="C16" s="3">
        <f t="shared" si="0"/>
        <v>5.6533326716987604</v>
      </c>
      <c r="D16">
        <v>0.83320000000000005</v>
      </c>
      <c r="E16">
        <v>92.915800000000004</v>
      </c>
      <c r="F16">
        <v>1.2797000000000001</v>
      </c>
      <c r="G16">
        <v>11500000</v>
      </c>
      <c r="H16">
        <v>0.86602540378443904</v>
      </c>
      <c r="I16">
        <v>0.5</v>
      </c>
      <c r="J16">
        <v>7.0932008140116896</v>
      </c>
      <c r="K16">
        <v>5.6533326716987604</v>
      </c>
    </row>
    <row r="17" spans="1:11" x14ac:dyDescent="0.2">
      <c r="A17" s="1">
        <v>39873</v>
      </c>
      <c r="B17" s="3">
        <v>7.0541716093317497</v>
      </c>
      <c r="C17" s="3">
        <f t="shared" si="0"/>
        <v>6.3323598953981204</v>
      </c>
      <c r="D17">
        <v>0.76380000000000003</v>
      </c>
      <c r="E17">
        <v>97.855000000000004</v>
      </c>
      <c r="F17">
        <v>1.3049999999999999</v>
      </c>
      <c r="G17">
        <v>6062500</v>
      </c>
      <c r="H17">
        <v>1</v>
      </c>
      <c r="I17" s="2">
        <v>6.1232339957367697E-17</v>
      </c>
      <c r="J17">
        <v>7.4644029448365101</v>
      </c>
      <c r="K17">
        <v>6.3323598953981204</v>
      </c>
    </row>
    <row r="18" spans="1:11" x14ac:dyDescent="0.2">
      <c r="A18" s="1">
        <v>39904</v>
      </c>
      <c r="B18" s="3">
        <v>5.5791537330501599</v>
      </c>
      <c r="C18" s="3">
        <f t="shared" si="0"/>
        <v>5.5535083070644502</v>
      </c>
      <c r="D18">
        <v>0.86180000000000001</v>
      </c>
      <c r="E18">
        <v>98.92</v>
      </c>
      <c r="F18">
        <v>1.3199000000000001</v>
      </c>
      <c r="G18">
        <v>2593750</v>
      </c>
      <c r="H18">
        <v>0.86602540378443904</v>
      </c>
      <c r="I18">
        <v>-0.5</v>
      </c>
      <c r="J18">
        <v>5.9542440945333697</v>
      </c>
      <c r="K18">
        <v>5.5535083070644502</v>
      </c>
    </row>
    <row r="19" spans="1:11" x14ac:dyDescent="0.2">
      <c r="A19" s="1">
        <v>39934</v>
      </c>
      <c r="B19" s="3">
        <v>4.5628036086051296</v>
      </c>
      <c r="C19" s="3">
        <f t="shared" si="0"/>
        <v>5.1537655625376901</v>
      </c>
      <c r="D19">
        <v>0.88680000000000003</v>
      </c>
      <c r="E19">
        <v>96.644499999999994</v>
      </c>
      <c r="F19">
        <v>1.3646</v>
      </c>
      <c r="G19">
        <v>4516667.5</v>
      </c>
      <c r="H19">
        <v>0.5</v>
      </c>
      <c r="I19">
        <v>-0.86602540378443904</v>
      </c>
      <c r="J19">
        <v>4.7333057175969202</v>
      </c>
      <c r="K19">
        <v>5.1537655625376901</v>
      </c>
    </row>
    <row r="20" spans="1:11" x14ac:dyDescent="0.2">
      <c r="A20" s="1">
        <v>39965</v>
      </c>
      <c r="B20" s="3">
        <v>4.8117897727272698</v>
      </c>
      <c r="C20" s="3">
        <f t="shared" si="0"/>
        <v>5.2769266775372197</v>
      </c>
      <c r="D20">
        <v>0.86629999999999996</v>
      </c>
      <c r="E20">
        <v>96.614500000000007</v>
      </c>
      <c r="F20">
        <v>1.4014</v>
      </c>
      <c r="G20">
        <v>19718750</v>
      </c>
      <c r="H20" s="2">
        <v>1.22464679914735E-16</v>
      </c>
      <c r="I20">
        <v>-1</v>
      </c>
      <c r="J20">
        <v>4.5751179831112596</v>
      </c>
      <c r="K20">
        <v>5.2769266775372197</v>
      </c>
    </row>
    <row r="21" spans="1:11" x14ac:dyDescent="0.2">
      <c r="A21" s="1">
        <v>39995</v>
      </c>
      <c r="B21" s="3">
        <v>5.4145516074450102</v>
      </c>
      <c r="C21" s="3">
        <f t="shared" si="0"/>
        <v>5.8218353292329601</v>
      </c>
      <c r="D21">
        <v>0.7601</v>
      </c>
      <c r="E21">
        <v>94.367000000000004</v>
      </c>
      <c r="F21">
        <v>1.4092</v>
      </c>
      <c r="G21">
        <v>21250000</v>
      </c>
      <c r="H21">
        <v>-0.5</v>
      </c>
      <c r="I21">
        <v>-0.86602540378443904</v>
      </c>
      <c r="J21">
        <v>5.5710635012192498</v>
      </c>
      <c r="K21">
        <v>5.8218353292329601</v>
      </c>
    </row>
    <row r="22" spans="1:11" x14ac:dyDescent="0.2">
      <c r="A22" s="1">
        <v>40026</v>
      </c>
      <c r="B22" s="3">
        <v>5.8314937454010298</v>
      </c>
      <c r="C22" s="3">
        <f t="shared" si="0"/>
        <v>5.4406947870975602</v>
      </c>
      <c r="D22">
        <v>0.75170000000000003</v>
      </c>
      <c r="E22">
        <v>94.897099999999995</v>
      </c>
      <c r="F22">
        <v>1.4266000000000001</v>
      </c>
      <c r="G22">
        <v>14667808.5</v>
      </c>
      <c r="H22">
        <v>-0.86602540378443804</v>
      </c>
      <c r="I22">
        <v>-0.5</v>
      </c>
      <c r="J22">
        <v>4.9682101874343303</v>
      </c>
      <c r="K22">
        <v>5.4406947870975602</v>
      </c>
    </row>
    <row r="23" spans="1:11" x14ac:dyDescent="0.2">
      <c r="A23" s="1">
        <v>40057</v>
      </c>
      <c r="B23" s="3">
        <v>6.3332100591716003</v>
      </c>
      <c r="C23" s="3">
        <f t="shared" si="0"/>
        <v>6.2971874426897099</v>
      </c>
      <c r="D23">
        <v>0.47260000000000002</v>
      </c>
      <c r="E23">
        <v>91.274799999999999</v>
      </c>
      <c r="F23">
        <v>1.4575</v>
      </c>
      <c r="G23">
        <v>7917186.7999999998</v>
      </c>
      <c r="H23">
        <v>-1</v>
      </c>
      <c r="I23" s="2">
        <v>-1.8369701987210299E-16</v>
      </c>
      <c r="J23">
        <v>4.1531178906906199</v>
      </c>
      <c r="K23">
        <v>6.2971874426897099</v>
      </c>
    </row>
    <row r="24" spans="1:11" x14ac:dyDescent="0.2">
      <c r="A24" s="1">
        <v>40087</v>
      </c>
      <c r="B24" s="3">
        <v>6.1154830757561403</v>
      </c>
      <c r="C24" s="3">
        <f t="shared" si="0"/>
        <v>6.4538711873038404</v>
      </c>
      <c r="D24">
        <v>0.4279</v>
      </c>
      <c r="E24">
        <v>90.367099999999994</v>
      </c>
      <c r="F24">
        <v>1.4821</v>
      </c>
      <c r="G24">
        <v>3400000</v>
      </c>
      <c r="H24">
        <v>-0.86602540378443904</v>
      </c>
      <c r="I24">
        <v>0.5</v>
      </c>
      <c r="J24">
        <v>4.2198490319243698</v>
      </c>
      <c r="K24">
        <v>6.4538711873038404</v>
      </c>
    </row>
    <row r="25" spans="1:11" x14ac:dyDescent="0.2">
      <c r="A25" s="1">
        <v>40118</v>
      </c>
      <c r="B25" s="3">
        <v>4.7578589634664397</v>
      </c>
      <c r="C25" s="3">
        <f t="shared" si="0"/>
        <v>5.4000261963047302</v>
      </c>
      <c r="D25">
        <v>0.69510000000000005</v>
      </c>
      <c r="E25">
        <v>89.267399999999995</v>
      </c>
      <c r="F25">
        <v>1.4907999999999999</v>
      </c>
      <c r="G25">
        <v>4843750</v>
      </c>
      <c r="H25">
        <v>-0.5</v>
      </c>
      <c r="I25">
        <v>0.86602540378443804</v>
      </c>
      <c r="J25">
        <v>4.6307822869578397</v>
      </c>
      <c r="K25">
        <v>5.4000261963047302</v>
      </c>
    </row>
    <row r="26" spans="1:11" x14ac:dyDescent="0.2">
      <c r="A26" s="1">
        <v>40148</v>
      </c>
      <c r="B26" s="3">
        <v>5.0014235550915798</v>
      </c>
      <c r="C26" s="3">
        <f t="shared" si="0"/>
        <v>5.4125948918434803</v>
      </c>
      <c r="D26">
        <v>0.77849999999999997</v>
      </c>
      <c r="E26">
        <v>89.950900000000004</v>
      </c>
      <c r="F26">
        <v>1.4579</v>
      </c>
      <c r="G26">
        <v>19187500</v>
      </c>
      <c r="H26" s="2">
        <v>-2.4492935982947099E-16</v>
      </c>
      <c r="I26">
        <v>1</v>
      </c>
      <c r="J26">
        <v>5.2700095694345697</v>
      </c>
      <c r="K26">
        <v>5.4125948918434803</v>
      </c>
    </row>
    <row r="27" spans="1:11" x14ac:dyDescent="0.2">
      <c r="A27" s="1">
        <v>40179</v>
      </c>
      <c r="B27" s="3">
        <v>5.1446637286836596</v>
      </c>
      <c r="C27" s="3">
        <f t="shared" si="0"/>
        <v>5.5478538797219903</v>
      </c>
      <c r="D27">
        <v>0.80289999999999995</v>
      </c>
      <c r="E27">
        <v>91.101100000000002</v>
      </c>
      <c r="F27">
        <v>1.4266000000000001</v>
      </c>
      <c r="G27" s="2">
        <v>15000000</v>
      </c>
      <c r="H27">
        <v>0.5</v>
      </c>
      <c r="I27">
        <v>0.86602540378443904</v>
      </c>
      <c r="J27">
        <v>5.7028216808295502</v>
      </c>
      <c r="K27">
        <v>5.5478538797219903</v>
      </c>
    </row>
    <row r="28" spans="1:11" x14ac:dyDescent="0.2">
      <c r="A28" s="1">
        <v>40210</v>
      </c>
      <c r="B28" s="3">
        <v>5.37268255769958</v>
      </c>
      <c r="C28" s="3">
        <f t="shared" si="0"/>
        <v>5.4429052214416496</v>
      </c>
      <c r="D28">
        <v>0.86860000000000004</v>
      </c>
      <c r="E28">
        <v>90.139499999999998</v>
      </c>
      <c r="F28">
        <v>1.3680000000000001</v>
      </c>
      <c r="G28">
        <v>11500000</v>
      </c>
      <c r="H28">
        <v>0.86602540378443904</v>
      </c>
      <c r="I28">
        <v>0.5</v>
      </c>
      <c r="J28">
        <v>6.2431202016540404</v>
      </c>
      <c r="K28">
        <v>5.4429052214416496</v>
      </c>
    </row>
    <row r="29" spans="1:11" x14ac:dyDescent="0.2">
      <c r="A29" s="1">
        <v>40238</v>
      </c>
      <c r="B29" s="3">
        <v>5.1520187701632603</v>
      </c>
      <c r="C29" s="3">
        <f t="shared" si="0"/>
        <v>5.6392790521848299</v>
      </c>
      <c r="D29">
        <v>0.82750000000000001</v>
      </c>
      <c r="E29">
        <v>90.716099999999997</v>
      </c>
      <c r="F29">
        <v>1.357</v>
      </c>
      <c r="G29">
        <v>6062500</v>
      </c>
      <c r="H29">
        <v>1</v>
      </c>
      <c r="I29" s="2">
        <v>6.1232339957367697E-17</v>
      </c>
      <c r="J29">
        <v>5.8597544305897298</v>
      </c>
      <c r="K29">
        <v>5.6392790521848299</v>
      </c>
    </row>
    <row r="30" spans="1:11" x14ac:dyDescent="0.2">
      <c r="A30" s="1">
        <v>40269</v>
      </c>
      <c r="B30" s="3">
        <v>4.9343414245921204</v>
      </c>
      <c r="C30" s="3">
        <f t="shared" si="0"/>
        <v>5.3647895525620104</v>
      </c>
      <c r="D30">
        <v>0.86509999999999998</v>
      </c>
      <c r="E30">
        <v>93.452699999999993</v>
      </c>
      <c r="F30">
        <v>1.3416999999999999</v>
      </c>
      <c r="G30">
        <v>2593750</v>
      </c>
      <c r="H30">
        <v>0.86602540378443904</v>
      </c>
      <c r="I30">
        <v>-0.5</v>
      </c>
      <c r="J30">
        <v>5.3597880391084498</v>
      </c>
      <c r="K30">
        <v>5.3647895525620104</v>
      </c>
    </row>
    <row r="31" spans="1:11" x14ac:dyDescent="0.2">
      <c r="A31" s="1">
        <v>40299</v>
      </c>
      <c r="B31" s="3">
        <v>4.6236662501201602</v>
      </c>
      <c r="C31" s="3">
        <f t="shared" si="0"/>
        <v>4.7940065320263701</v>
      </c>
      <c r="D31">
        <v>0.88660000000000005</v>
      </c>
      <c r="E31">
        <v>91.972999999999999</v>
      </c>
      <c r="F31">
        <v>1.2563</v>
      </c>
      <c r="G31">
        <v>4516667.5</v>
      </c>
      <c r="H31">
        <v>0.5</v>
      </c>
      <c r="I31">
        <v>-0.86602540378443904</v>
      </c>
      <c r="J31">
        <v>4.6093956028455096</v>
      </c>
      <c r="K31">
        <v>4.7940065320263701</v>
      </c>
    </row>
    <row r="32" spans="1:11" x14ac:dyDescent="0.2">
      <c r="A32" s="1">
        <v>40330</v>
      </c>
      <c r="B32" s="3">
        <v>5.1561295296838896</v>
      </c>
      <c r="C32" s="3">
        <f t="shared" si="0"/>
        <v>5.0290138121965899</v>
      </c>
      <c r="D32">
        <v>0.84019999999999995</v>
      </c>
      <c r="E32">
        <v>90.805899999999994</v>
      </c>
      <c r="F32">
        <v>1.2222999999999999</v>
      </c>
      <c r="G32" s="2">
        <v>20000000</v>
      </c>
      <c r="H32" s="2">
        <v>1.22464679914735E-16</v>
      </c>
      <c r="I32">
        <v>-1</v>
      </c>
      <c r="J32">
        <v>5.0994648080612404</v>
      </c>
      <c r="K32">
        <v>5.0290138121965899</v>
      </c>
    </row>
    <row r="33" spans="1:11" x14ac:dyDescent="0.2">
      <c r="A33" s="1">
        <v>40360</v>
      </c>
      <c r="B33" s="3">
        <v>5.5555555555555598</v>
      </c>
      <c r="C33" s="3">
        <f t="shared" si="0"/>
        <v>5.6369198246676904</v>
      </c>
      <c r="D33">
        <v>0.7298</v>
      </c>
      <c r="E33">
        <v>87.500500000000002</v>
      </c>
      <c r="F33">
        <v>1.2810999999999999</v>
      </c>
      <c r="G33">
        <v>21250000</v>
      </c>
      <c r="H33">
        <v>-0.5</v>
      </c>
      <c r="I33">
        <v>-0.86602540378443904</v>
      </c>
      <c r="J33">
        <v>5.8437891567047702</v>
      </c>
      <c r="K33">
        <v>5.6369198246676904</v>
      </c>
    </row>
    <row r="34" spans="1:11" x14ac:dyDescent="0.2">
      <c r="A34" s="1">
        <v>40391</v>
      </c>
      <c r="B34" s="3">
        <v>5.91118800461361</v>
      </c>
      <c r="C34" s="3">
        <f t="shared" si="0"/>
        <v>5.6042115502580501</v>
      </c>
      <c r="D34">
        <v>0.61639999999999995</v>
      </c>
      <c r="E34">
        <v>85.372699999999995</v>
      </c>
      <c r="F34">
        <v>1.2903</v>
      </c>
      <c r="G34">
        <v>14667808.5</v>
      </c>
      <c r="H34">
        <v>-0.86602540378443804</v>
      </c>
      <c r="I34">
        <v>-0.5</v>
      </c>
      <c r="J34">
        <v>4.9268113595184104</v>
      </c>
      <c r="K34">
        <v>5.6042115502580501</v>
      </c>
    </row>
    <row r="35" spans="1:11" x14ac:dyDescent="0.2">
      <c r="A35" s="1">
        <v>40422</v>
      </c>
      <c r="B35" s="3">
        <v>6.6989351403678601</v>
      </c>
      <c r="C35" s="3">
        <f t="shared" si="0"/>
        <v>6.98832569900756</v>
      </c>
      <c r="D35">
        <v>0.2407</v>
      </c>
      <c r="E35">
        <v>84.357100000000003</v>
      </c>
      <c r="F35">
        <v>1.3103</v>
      </c>
      <c r="G35">
        <v>7917186.7999999998</v>
      </c>
      <c r="H35">
        <v>-1</v>
      </c>
      <c r="I35" s="2">
        <v>-1.8369701987210299E-16</v>
      </c>
      <c r="J35">
        <v>4.3885284096527801</v>
      </c>
      <c r="K35">
        <v>6.98832569900756</v>
      </c>
    </row>
    <row r="36" spans="1:11" x14ac:dyDescent="0.2">
      <c r="A36" s="1">
        <v>40452</v>
      </c>
      <c r="B36" s="3">
        <v>6.1990372335199897</v>
      </c>
      <c r="C36" s="3">
        <f t="shared" si="0"/>
        <v>6.4255323326122697</v>
      </c>
      <c r="D36">
        <v>0.39129999999999998</v>
      </c>
      <c r="E36">
        <v>81.728499999999997</v>
      </c>
      <c r="F36">
        <v>1.3900999999999999</v>
      </c>
      <c r="G36">
        <v>3400000</v>
      </c>
      <c r="H36">
        <v>-0.86602540378443904</v>
      </c>
      <c r="I36">
        <v>0.5</v>
      </c>
      <c r="J36">
        <v>4.6972935128926299</v>
      </c>
      <c r="K36">
        <v>6.4255323326122697</v>
      </c>
    </row>
    <row r="37" spans="1:11" x14ac:dyDescent="0.2">
      <c r="A37" s="1">
        <v>40483</v>
      </c>
      <c r="B37" s="3">
        <v>5.5188073847368901</v>
      </c>
      <c r="C37" s="3">
        <f t="shared" si="0"/>
        <v>5.5149151494223796</v>
      </c>
      <c r="D37">
        <v>0.64070000000000005</v>
      </c>
      <c r="E37">
        <v>82.518000000000001</v>
      </c>
      <c r="F37">
        <v>1.3653999999999999</v>
      </c>
      <c r="G37">
        <v>4843750</v>
      </c>
      <c r="H37">
        <v>-0.5</v>
      </c>
      <c r="I37">
        <v>0.86602540378443804</v>
      </c>
      <c r="J37">
        <v>5.5503060298618996</v>
      </c>
      <c r="K37">
        <v>5.5149151494223796</v>
      </c>
    </row>
    <row r="38" spans="1:11" x14ac:dyDescent="0.2">
      <c r="A38" s="1">
        <v>40513</v>
      </c>
      <c r="B38" s="3">
        <v>5.4756472572165498</v>
      </c>
      <c r="C38" s="3">
        <f t="shared" si="0"/>
        <v>5.35384691038431</v>
      </c>
      <c r="D38">
        <v>0.77439999999999998</v>
      </c>
      <c r="E38">
        <v>83.337599999999995</v>
      </c>
      <c r="F38">
        <v>1.3221000000000001</v>
      </c>
      <c r="G38">
        <v>19187500</v>
      </c>
      <c r="H38" s="2">
        <v>-2.4492935982947099E-16</v>
      </c>
      <c r="I38">
        <v>1</v>
      </c>
      <c r="J38">
        <v>6.4925205453045498</v>
      </c>
      <c r="K38">
        <v>5.35384691038431</v>
      </c>
    </row>
    <row r="39" spans="1:11" x14ac:dyDescent="0.2">
      <c r="A39" s="1">
        <v>40544</v>
      </c>
      <c r="B39" s="3">
        <v>5.6746151524298201</v>
      </c>
      <c r="C39" s="3">
        <f t="shared" si="0"/>
        <v>5.69840258663036</v>
      </c>
      <c r="D39">
        <v>0.7833</v>
      </c>
      <c r="E39">
        <v>82.625</v>
      </c>
      <c r="F39">
        <v>1.3371</v>
      </c>
      <c r="G39">
        <v>15625000</v>
      </c>
      <c r="H39">
        <v>0.5</v>
      </c>
      <c r="I39">
        <v>0.86602540378443904</v>
      </c>
      <c r="J39">
        <v>7.0566475935125403</v>
      </c>
      <c r="K39">
        <v>5.69840258663036</v>
      </c>
    </row>
    <row r="40" spans="1:11" x14ac:dyDescent="0.2">
      <c r="A40" s="1">
        <v>40575</v>
      </c>
      <c r="B40" s="3">
        <v>5.5386796273795103</v>
      </c>
      <c r="C40" s="3">
        <f t="shared" si="0"/>
        <v>5.6895707624369898</v>
      </c>
      <c r="D40">
        <v>0.83919999999999995</v>
      </c>
      <c r="E40">
        <v>82.536799999999999</v>
      </c>
      <c r="F40">
        <v>1.3655999999999999</v>
      </c>
      <c r="G40">
        <v>11500000</v>
      </c>
      <c r="H40">
        <v>0.86602540378443904</v>
      </c>
      <c r="I40">
        <v>0.5</v>
      </c>
      <c r="J40">
        <v>6.9760929864227101</v>
      </c>
      <c r="K40">
        <v>5.6895707624369898</v>
      </c>
    </row>
    <row r="41" spans="1:11" x14ac:dyDescent="0.2">
      <c r="A41" s="1">
        <v>40603</v>
      </c>
      <c r="B41" s="3">
        <v>5.3860331763260296</v>
      </c>
      <c r="C41" s="3">
        <f t="shared" si="0"/>
        <v>5.9452606154649397</v>
      </c>
      <c r="D41">
        <v>0.80969999999999998</v>
      </c>
      <c r="E41">
        <v>81.647000000000006</v>
      </c>
      <c r="F41">
        <v>1.4019999999999999</v>
      </c>
      <c r="G41">
        <v>6062500</v>
      </c>
      <c r="H41">
        <v>1</v>
      </c>
      <c r="I41" s="2">
        <v>6.1232339957367697E-17</v>
      </c>
      <c r="J41">
        <v>6.6313885596842201</v>
      </c>
      <c r="K41">
        <v>5.9452606154649397</v>
      </c>
    </row>
    <row r="42" spans="1:11" x14ac:dyDescent="0.2">
      <c r="A42" s="1">
        <v>40634</v>
      </c>
      <c r="B42" s="3">
        <v>5.6784968684759898</v>
      </c>
      <c r="C42" s="3">
        <f t="shared" si="0"/>
        <v>6.1476732720631801</v>
      </c>
      <c r="D42">
        <v>0.79410000000000003</v>
      </c>
      <c r="E42">
        <v>83.177099999999996</v>
      </c>
      <c r="F42">
        <v>1.446</v>
      </c>
      <c r="G42">
        <v>2593750</v>
      </c>
      <c r="H42">
        <v>0.86602540378443904</v>
      </c>
      <c r="I42">
        <v>-0.5</v>
      </c>
      <c r="J42">
        <v>6.4724744155030898</v>
      </c>
      <c r="K42">
        <v>6.1476732720631801</v>
      </c>
    </row>
    <row r="43" spans="1:11" x14ac:dyDescent="0.2">
      <c r="A43" s="1">
        <v>40664</v>
      </c>
      <c r="B43" s="3">
        <v>5.4235537190082601</v>
      </c>
      <c r="C43" s="3">
        <f t="shared" si="0"/>
        <v>5.5909454787602897</v>
      </c>
      <c r="D43">
        <v>0.84899999999999998</v>
      </c>
      <c r="E43">
        <v>81.125699999999995</v>
      </c>
      <c r="F43">
        <v>1.4335</v>
      </c>
      <c r="G43">
        <v>4516667.5</v>
      </c>
      <c r="H43">
        <v>0.5</v>
      </c>
      <c r="I43">
        <v>-0.86602540378443904</v>
      </c>
      <c r="J43">
        <v>5.6938755647860102</v>
      </c>
      <c r="K43">
        <v>5.5909454787602897</v>
      </c>
    </row>
    <row r="44" spans="1:11" x14ac:dyDescent="0.2">
      <c r="A44" s="1">
        <v>40695</v>
      </c>
      <c r="B44" s="3">
        <v>5.9287323366782703</v>
      </c>
      <c r="C44" s="3">
        <f t="shared" si="0"/>
        <v>5.9863012852732904</v>
      </c>
      <c r="D44">
        <v>0.79220000000000002</v>
      </c>
      <c r="E44">
        <v>80.425899999999999</v>
      </c>
      <c r="F44">
        <v>1.4402999999999999</v>
      </c>
      <c r="G44">
        <v>19718750</v>
      </c>
      <c r="H44" s="2">
        <v>1.22464679914735E-16</v>
      </c>
      <c r="I44">
        <v>-1</v>
      </c>
      <c r="J44">
        <v>6.2081084388533103</v>
      </c>
      <c r="K44">
        <v>5.9863012852732904</v>
      </c>
    </row>
    <row r="45" spans="1:11" x14ac:dyDescent="0.2">
      <c r="A45" s="1">
        <v>40725</v>
      </c>
      <c r="B45" s="3">
        <v>6.4377682403433498</v>
      </c>
      <c r="C45" s="3">
        <f t="shared" si="0"/>
        <v>6.10922979686889</v>
      </c>
      <c r="D45">
        <v>0.6895</v>
      </c>
      <c r="E45">
        <v>79.242500000000007</v>
      </c>
      <c r="F45">
        <v>1.4275</v>
      </c>
      <c r="G45">
        <v>18750000</v>
      </c>
      <c r="H45">
        <v>-0.5</v>
      </c>
      <c r="I45">
        <v>-0.86602540378443904</v>
      </c>
      <c r="J45">
        <v>5.9715063863161397</v>
      </c>
      <c r="K45">
        <v>6.10922979686889</v>
      </c>
    </row>
    <row r="46" spans="1:11" x14ac:dyDescent="0.2">
      <c r="A46" s="1">
        <v>40756</v>
      </c>
      <c r="B46" s="3">
        <v>6.7841499439747404</v>
      </c>
      <c r="C46" s="3">
        <f t="shared" si="0"/>
        <v>6.1641139358028303</v>
      </c>
      <c r="D46">
        <v>0.55489999999999995</v>
      </c>
      <c r="E46">
        <v>76.965699999999998</v>
      </c>
      <c r="F46">
        <v>1.4333</v>
      </c>
      <c r="G46">
        <v>14667808.5</v>
      </c>
      <c r="H46">
        <v>-0.86602540378443804</v>
      </c>
      <c r="I46">
        <v>-0.5</v>
      </c>
      <c r="J46">
        <v>4.9687575826024997</v>
      </c>
      <c r="K46">
        <v>6.1641139358028303</v>
      </c>
    </row>
    <row r="47" spans="1:11" x14ac:dyDescent="0.2">
      <c r="A47" s="1">
        <v>40787</v>
      </c>
      <c r="B47" s="3">
        <v>7.0124688279301797</v>
      </c>
      <c r="C47" s="3">
        <f t="shared" si="0"/>
        <v>6.81150752632358</v>
      </c>
      <c r="D47">
        <v>0.32029999999999997</v>
      </c>
      <c r="E47">
        <v>76.795699999999997</v>
      </c>
      <c r="F47">
        <v>1.3747</v>
      </c>
      <c r="G47">
        <v>7917186.7999999998</v>
      </c>
      <c r="H47">
        <v>-1</v>
      </c>
      <c r="I47" s="2">
        <v>-1.8369701987210299E-16</v>
      </c>
      <c r="J47">
        <v>4.8106858886521202</v>
      </c>
      <c r="K47">
        <v>6.81150752632358</v>
      </c>
    </row>
    <row r="48" spans="1:11" x14ac:dyDescent="0.2">
      <c r="A48" s="1">
        <v>40817</v>
      </c>
      <c r="B48" s="3">
        <v>5.8050598156501296</v>
      </c>
      <c r="C48" s="3">
        <f t="shared" si="0"/>
        <v>6.40521261642425</v>
      </c>
      <c r="D48">
        <v>0.37580000000000002</v>
      </c>
      <c r="E48">
        <v>76.643000000000001</v>
      </c>
      <c r="F48">
        <v>1.3732</v>
      </c>
      <c r="G48">
        <v>3400000</v>
      </c>
      <c r="H48">
        <v>-0.86602540378443904</v>
      </c>
      <c r="I48">
        <v>0.5</v>
      </c>
      <c r="J48">
        <v>4.7290768811274297</v>
      </c>
      <c r="K48">
        <v>6.40521261642425</v>
      </c>
    </row>
    <row r="49" spans="1:11" x14ac:dyDescent="0.2">
      <c r="A49" s="1">
        <v>40878</v>
      </c>
      <c r="B49" s="3">
        <v>4.53346360527601</v>
      </c>
      <c r="C49" s="3">
        <f t="shared" si="0"/>
        <v>4.6418595671594103</v>
      </c>
      <c r="D49">
        <v>0.79969999999999997</v>
      </c>
      <c r="E49">
        <v>77.796700000000001</v>
      </c>
      <c r="F49">
        <v>1.3154999999999999</v>
      </c>
      <c r="G49">
        <v>18750000</v>
      </c>
      <c r="H49" s="2">
        <v>-2.4492935982947099E-16</v>
      </c>
      <c r="I49">
        <v>1</v>
      </c>
      <c r="J49">
        <v>4.6581298367431598</v>
      </c>
      <c r="K49">
        <v>4.6418595671594103</v>
      </c>
    </row>
    <row r="50" spans="1:11" x14ac:dyDescent="0.2">
      <c r="A50" s="1">
        <v>40909</v>
      </c>
      <c r="B50" s="3">
        <v>5.1727541954590297</v>
      </c>
      <c r="C50" s="3">
        <f t="shared" si="0"/>
        <v>5.50289192001153</v>
      </c>
      <c r="D50">
        <v>0.75639999999999996</v>
      </c>
      <c r="E50">
        <v>76.963999999999999</v>
      </c>
      <c r="F50">
        <v>1.2909999999999999</v>
      </c>
      <c r="G50">
        <v>15625000</v>
      </c>
      <c r="H50">
        <v>0.5</v>
      </c>
      <c r="I50">
        <v>0.86602540378443904</v>
      </c>
      <c r="J50">
        <v>6.55633189910069</v>
      </c>
      <c r="K50">
        <v>5.50289192001153</v>
      </c>
    </row>
    <row r="51" spans="1:11" x14ac:dyDescent="0.2">
      <c r="A51" s="1">
        <v>40940</v>
      </c>
      <c r="B51" s="3">
        <v>5.7088391692585496</v>
      </c>
      <c r="C51" s="3">
        <f t="shared" si="0"/>
        <v>5.9078649352864803</v>
      </c>
      <c r="D51">
        <v>0.79700000000000004</v>
      </c>
      <c r="E51">
        <v>78.47</v>
      </c>
      <c r="F51">
        <v>1.3238000000000001</v>
      </c>
      <c r="G51">
        <v>11500000</v>
      </c>
      <c r="H51">
        <v>0.86602540378443904</v>
      </c>
      <c r="I51">
        <v>0.5</v>
      </c>
      <c r="J51">
        <v>7.6036403900172296</v>
      </c>
      <c r="K51">
        <v>5.9078649352864803</v>
      </c>
    </row>
    <row r="52" spans="1:11" x14ac:dyDescent="0.2">
      <c r="A52" s="1">
        <v>40969</v>
      </c>
      <c r="B52" s="3">
        <v>6.5506138055946899</v>
      </c>
      <c r="C52" s="3">
        <f t="shared" si="0"/>
        <v>6.3594976349635104</v>
      </c>
      <c r="D52">
        <v>0.76959999999999995</v>
      </c>
      <c r="E52">
        <v>82.465900000000005</v>
      </c>
      <c r="F52">
        <v>1.3208</v>
      </c>
      <c r="G52">
        <v>6062500</v>
      </c>
      <c r="H52">
        <v>1</v>
      </c>
      <c r="I52" s="2">
        <v>6.1232339957367697E-17</v>
      </c>
      <c r="J52">
        <v>8.1527039380840201</v>
      </c>
      <c r="K52">
        <v>6.3594976349635104</v>
      </c>
    </row>
    <row r="53" spans="1:11" x14ac:dyDescent="0.2">
      <c r="A53" s="1">
        <v>41000</v>
      </c>
      <c r="B53" s="3">
        <v>6.1946011281224802</v>
      </c>
      <c r="C53" s="3">
        <f t="shared" si="0"/>
        <v>6.0685571613254501</v>
      </c>
      <c r="D53">
        <v>0.79549999999999998</v>
      </c>
      <c r="E53">
        <v>81.252399999999994</v>
      </c>
      <c r="F53">
        <v>1.3160000000000001</v>
      </c>
      <c r="G53">
        <v>2593750</v>
      </c>
      <c r="H53">
        <v>0.86602540378443904</v>
      </c>
      <c r="I53">
        <v>-0.5</v>
      </c>
      <c r="J53">
        <v>7.4669603448114303</v>
      </c>
      <c r="K53">
        <v>6.0685571613254501</v>
      </c>
    </row>
    <row r="54" spans="1:11" x14ac:dyDescent="0.2">
      <c r="A54" s="1">
        <v>41030</v>
      </c>
      <c r="B54" s="3">
        <v>5.7046647519065097</v>
      </c>
      <c r="C54" s="3">
        <f t="shared" si="0"/>
        <v>5.4348816823563402</v>
      </c>
      <c r="D54">
        <v>0.82699999999999996</v>
      </c>
      <c r="E54">
        <v>79.666799999999995</v>
      </c>
      <c r="F54">
        <v>1.2806</v>
      </c>
      <c r="G54">
        <v>4516667.5</v>
      </c>
      <c r="H54">
        <v>0.5</v>
      </c>
      <c r="I54">
        <v>-0.86602540378443904</v>
      </c>
      <c r="J54">
        <v>6.2092962111378398</v>
      </c>
      <c r="K54">
        <v>5.4348816823563402</v>
      </c>
    </row>
    <row r="55" spans="1:11" x14ac:dyDescent="0.2">
      <c r="A55" s="1">
        <v>41061</v>
      </c>
      <c r="B55" s="3">
        <v>5.5058365758754899</v>
      </c>
      <c r="C55" s="3">
        <f t="shared" si="0"/>
        <v>5.5392490210796996</v>
      </c>
      <c r="D55">
        <v>0.76139999999999997</v>
      </c>
      <c r="E55">
        <v>79.315200000000004</v>
      </c>
      <c r="F55">
        <v>1.2541</v>
      </c>
      <c r="G55">
        <v>19718750</v>
      </c>
      <c r="H55" s="2">
        <v>1.22464679914735E-16</v>
      </c>
      <c r="I55">
        <v>-1</v>
      </c>
      <c r="J55">
        <v>5.8172797939527703</v>
      </c>
      <c r="K55">
        <v>5.5392490210796996</v>
      </c>
    </row>
    <row r="56" spans="1:11" x14ac:dyDescent="0.2">
      <c r="A56" s="1">
        <v>41091</v>
      </c>
      <c r="B56" s="3">
        <v>5.4427134687438397</v>
      </c>
      <c r="C56" s="3">
        <f t="shared" si="0"/>
        <v>5.4158452186441801</v>
      </c>
      <c r="D56">
        <v>0.70520000000000005</v>
      </c>
      <c r="E56">
        <v>78.934799999999996</v>
      </c>
      <c r="F56">
        <v>1.2278</v>
      </c>
      <c r="G56">
        <v>21250000</v>
      </c>
      <c r="H56">
        <v>-0.5</v>
      </c>
      <c r="I56">
        <v>-0.86602540378443904</v>
      </c>
      <c r="J56">
        <v>5.4752603858343596</v>
      </c>
      <c r="K56">
        <v>5.4158452186441801</v>
      </c>
    </row>
    <row r="57" spans="1:11" x14ac:dyDescent="0.2">
      <c r="A57" s="1">
        <v>41122</v>
      </c>
      <c r="B57" s="3">
        <v>6.2474808544941602</v>
      </c>
      <c r="C57" s="3">
        <f t="shared" si="0"/>
        <v>5.3718703169023998</v>
      </c>
      <c r="D57">
        <v>0.57730000000000004</v>
      </c>
      <c r="E57">
        <v>78.690899999999999</v>
      </c>
      <c r="F57">
        <v>1.2405999999999999</v>
      </c>
      <c r="G57">
        <v>14667808.5</v>
      </c>
      <c r="H57">
        <v>-0.86602540378443804</v>
      </c>
      <c r="I57">
        <v>-0.5</v>
      </c>
      <c r="J57">
        <v>4.1654107819776698</v>
      </c>
      <c r="K57">
        <v>5.3718703169023998</v>
      </c>
    </row>
    <row r="58" spans="1:11" x14ac:dyDescent="0.2">
      <c r="A58" s="1">
        <v>41153</v>
      </c>
      <c r="B58" s="3">
        <v>6.0206480629663703</v>
      </c>
      <c r="C58" s="3">
        <f t="shared" si="0"/>
        <v>6.2093650003651</v>
      </c>
      <c r="D58">
        <v>0.37159999999999999</v>
      </c>
      <c r="E58">
        <v>78.135300000000001</v>
      </c>
      <c r="F58">
        <v>1.2885</v>
      </c>
      <c r="G58">
        <v>7917186.7999999998</v>
      </c>
      <c r="H58">
        <v>-1</v>
      </c>
      <c r="I58" s="2">
        <v>-1.8369701987210299E-16</v>
      </c>
      <c r="J58">
        <v>4.2254458346464698</v>
      </c>
      <c r="K58">
        <v>6.2093650003651</v>
      </c>
    </row>
    <row r="59" spans="1:11" x14ac:dyDescent="0.2">
      <c r="A59" s="1">
        <v>41183</v>
      </c>
      <c r="B59" s="3">
        <v>5.5915721231766602</v>
      </c>
      <c r="C59" s="3">
        <f t="shared" si="0"/>
        <v>5.45709169919086</v>
      </c>
      <c r="D59">
        <v>0.51249999999999996</v>
      </c>
      <c r="E59">
        <v>79.013199999999998</v>
      </c>
      <c r="F59">
        <v>1.2974000000000001</v>
      </c>
      <c r="G59">
        <v>3400000</v>
      </c>
      <c r="H59">
        <v>-0.86602540378443904</v>
      </c>
      <c r="I59">
        <v>0.5</v>
      </c>
      <c r="J59">
        <v>4.1873517625958696</v>
      </c>
      <c r="K59">
        <v>5.45709169919086</v>
      </c>
    </row>
    <row r="60" spans="1:11" x14ac:dyDescent="0.2">
      <c r="A60" s="1">
        <v>41244</v>
      </c>
      <c r="B60" s="3">
        <v>4.42513639119014</v>
      </c>
      <c r="C60" s="3">
        <f t="shared" si="0"/>
        <v>4.69505171118369</v>
      </c>
      <c r="D60">
        <v>0.78549999999999998</v>
      </c>
      <c r="E60">
        <v>83.790499999999994</v>
      </c>
      <c r="F60">
        <v>1.3119000000000001</v>
      </c>
      <c r="G60">
        <v>25312500</v>
      </c>
      <c r="H60" s="2">
        <v>-2.4492935982947099E-16</v>
      </c>
      <c r="I60">
        <v>1</v>
      </c>
      <c r="J60">
        <v>4.1763524550764197</v>
      </c>
      <c r="K60">
        <v>4.69505171118369</v>
      </c>
    </row>
    <row r="61" spans="1:11" x14ac:dyDescent="0.2">
      <c r="A61" s="1">
        <v>41275</v>
      </c>
      <c r="B61" s="3">
        <v>5.2010885999395198</v>
      </c>
      <c r="C61" s="3">
        <f t="shared" si="0"/>
        <v>5.5019836627859799</v>
      </c>
      <c r="D61">
        <v>0.75629999999999997</v>
      </c>
      <c r="E61">
        <v>89.058099999999996</v>
      </c>
      <c r="F61">
        <v>1.3304</v>
      </c>
      <c r="G61">
        <v>15625000</v>
      </c>
      <c r="H61">
        <v>0.5</v>
      </c>
      <c r="I61">
        <v>0.86602540378443904</v>
      </c>
      <c r="J61">
        <v>5.6944494863226298</v>
      </c>
      <c r="K61">
        <v>5.5019836627859799</v>
      </c>
    </row>
    <row r="62" spans="1:11" x14ac:dyDescent="0.2">
      <c r="A62" s="1">
        <v>41306</v>
      </c>
      <c r="B62" s="3">
        <v>5.6050703109526596</v>
      </c>
      <c r="C62" s="3">
        <f t="shared" si="0"/>
        <v>5.7953868444069503</v>
      </c>
      <c r="D62">
        <v>0.81640000000000001</v>
      </c>
      <c r="E62">
        <v>93.001599999999996</v>
      </c>
      <c r="F62">
        <v>1.3347</v>
      </c>
      <c r="G62">
        <v>11500000</v>
      </c>
      <c r="H62">
        <v>0.86602540378443904</v>
      </c>
      <c r="I62">
        <v>0.5</v>
      </c>
      <c r="J62">
        <v>6.8227267116172197</v>
      </c>
      <c r="K62">
        <v>5.7953868444069503</v>
      </c>
    </row>
    <row r="63" spans="1:11" x14ac:dyDescent="0.2">
      <c r="A63" s="1">
        <v>41334</v>
      </c>
      <c r="B63" s="3">
        <v>7.85825849277626</v>
      </c>
      <c r="C63" s="3">
        <f t="shared" si="0"/>
        <v>6.78206791708996</v>
      </c>
      <c r="D63">
        <v>0.73060000000000003</v>
      </c>
      <c r="E63">
        <v>94.77</v>
      </c>
      <c r="F63">
        <v>1.2952999999999999</v>
      </c>
      <c r="G63">
        <v>6062500</v>
      </c>
      <c r="H63">
        <v>1</v>
      </c>
      <c r="I63" s="2">
        <v>6.1232339957367697E-17</v>
      </c>
      <c r="J63">
        <v>8.7431337987196294</v>
      </c>
      <c r="K63">
        <v>6.78206791708996</v>
      </c>
    </row>
    <row r="64" spans="1:11" x14ac:dyDescent="0.2">
      <c r="A64" s="1">
        <v>41365</v>
      </c>
      <c r="B64" s="3">
        <v>6.9500343575144798</v>
      </c>
      <c r="C64" s="3">
        <f t="shared" si="0"/>
        <v>6.5372545681963201</v>
      </c>
      <c r="D64">
        <v>0.77510000000000001</v>
      </c>
      <c r="E64">
        <v>97.758200000000002</v>
      </c>
      <c r="F64">
        <v>1.3025</v>
      </c>
      <c r="G64">
        <v>2593750</v>
      </c>
      <c r="H64">
        <v>0.86602540378443904</v>
      </c>
      <c r="I64">
        <v>-0.5</v>
      </c>
      <c r="J64">
        <v>8.2510053094503792</v>
      </c>
      <c r="K64">
        <v>6.5372545681963201</v>
      </c>
    </row>
    <row r="65" spans="1:11" x14ac:dyDescent="0.2">
      <c r="A65" s="1">
        <v>41395</v>
      </c>
      <c r="B65" s="3">
        <v>5.2765790506080803</v>
      </c>
      <c r="C65" s="3">
        <f t="shared" si="0"/>
        <v>5.39538200167841</v>
      </c>
      <c r="D65">
        <v>0.84399999999999997</v>
      </c>
      <c r="E65">
        <v>100.9186</v>
      </c>
      <c r="F65">
        <v>1.2983</v>
      </c>
      <c r="G65">
        <v>4516667.5</v>
      </c>
      <c r="H65">
        <v>0.5</v>
      </c>
      <c r="I65">
        <v>-0.86602540378443904</v>
      </c>
      <c r="J65">
        <v>5.3111193552818596</v>
      </c>
      <c r="K65">
        <v>5.39538200167841</v>
      </c>
    </row>
    <row r="66" spans="1:11" x14ac:dyDescent="0.2">
      <c r="A66" s="1">
        <v>41426</v>
      </c>
      <c r="B66" s="3">
        <v>4.6538685282140797</v>
      </c>
      <c r="C66" s="3">
        <f t="shared" si="0"/>
        <v>5.44670331546852</v>
      </c>
      <c r="D66">
        <v>0.81940000000000002</v>
      </c>
      <c r="E66">
        <v>97.234999999999999</v>
      </c>
      <c r="F66">
        <v>1.3197000000000001</v>
      </c>
      <c r="G66">
        <v>19718750</v>
      </c>
      <c r="H66" s="2">
        <v>1.22464679914735E-16</v>
      </c>
      <c r="I66">
        <v>-1</v>
      </c>
      <c r="J66">
        <v>5.1167592650548404</v>
      </c>
      <c r="K66">
        <v>5.44670331546852</v>
      </c>
    </row>
    <row r="67" spans="1:11" x14ac:dyDescent="0.2">
      <c r="A67" s="1">
        <v>41456</v>
      </c>
      <c r="B67" s="3">
        <v>5.5470101903480096</v>
      </c>
      <c r="C67" s="3">
        <f t="shared" ref="C67:C114" si="1">K67</f>
        <v>5.5818315137917498</v>
      </c>
      <c r="D67">
        <v>0.70950000000000002</v>
      </c>
      <c r="E67">
        <v>99.672700000000006</v>
      </c>
      <c r="F67">
        <v>1.3088</v>
      </c>
      <c r="G67">
        <v>26250000</v>
      </c>
      <c r="H67">
        <v>-0.5</v>
      </c>
      <c r="I67">
        <v>-0.86602540378443904</v>
      </c>
      <c r="J67">
        <v>4.3846454575128702</v>
      </c>
      <c r="K67">
        <v>5.5818315137917498</v>
      </c>
    </row>
    <row r="68" spans="1:11" x14ac:dyDescent="0.2">
      <c r="A68" s="1">
        <v>42461</v>
      </c>
      <c r="B68" s="3">
        <v>6.9121547823373399</v>
      </c>
      <c r="C68" s="3">
        <f t="shared" si="1"/>
        <v>6.2255611653790197</v>
      </c>
      <c r="D68">
        <v>0.63770000000000004</v>
      </c>
      <c r="E68">
        <v>109.5519</v>
      </c>
      <c r="F68">
        <v>1.1346000000000001</v>
      </c>
      <c r="G68">
        <v>2593750</v>
      </c>
      <c r="H68">
        <v>0.86602540378443904</v>
      </c>
      <c r="I68">
        <v>-0.5</v>
      </c>
      <c r="J68">
        <v>5.8694271034974603</v>
      </c>
      <c r="K68">
        <v>6.2255611653790197</v>
      </c>
    </row>
    <row r="69" spans="1:11" x14ac:dyDescent="0.2">
      <c r="A69" s="1">
        <v>42491</v>
      </c>
      <c r="B69" s="3">
        <v>6.0795674005407498</v>
      </c>
      <c r="C69" s="3">
        <f t="shared" si="1"/>
        <v>6.0825835972864697</v>
      </c>
      <c r="D69">
        <v>0.67979999999999996</v>
      </c>
      <c r="E69">
        <v>108.8481</v>
      </c>
      <c r="F69">
        <v>1.1312</v>
      </c>
      <c r="G69">
        <v>4516667.5</v>
      </c>
      <c r="H69">
        <v>0.5</v>
      </c>
      <c r="I69">
        <v>-0.86602540378443904</v>
      </c>
      <c r="J69">
        <v>6.2269753859154502</v>
      </c>
      <c r="K69">
        <v>6.0825835972864697</v>
      </c>
    </row>
    <row r="70" spans="1:11" x14ac:dyDescent="0.2">
      <c r="A70" s="1">
        <v>42522</v>
      </c>
      <c r="B70" s="3">
        <v>6.5146579804560298</v>
      </c>
      <c r="C70" s="3">
        <f t="shared" si="1"/>
        <v>6.3881593848104901</v>
      </c>
      <c r="D70">
        <v>0.67300000000000004</v>
      </c>
      <c r="E70">
        <v>105.3509</v>
      </c>
      <c r="F70">
        <v>1.1232</v>
      </c>
      <c r="G70">
        <v>19718750</v>
      </c>
      <c r="H70" s="2">
        <v>1.22464679914735E-16</v>
      </c>
      <c r="I70">
        <v>-1</v>
      </c>
      <c r="J70">
        <v>7.5019261396626797</v>
      </c>
      <c r="K70">
        <v>6.3881593848104901</v>
      </c>
    </row>
    <row r="71" spans="1:11" x14ac:dyDescent="0.2">
      <c r="A71" s="1">
        <v>42552</v>
      </c>
      <c r="B71" s="3">
        <v>6.9108182653999402</v>
      </c>
      <c r="C71" s="3">
        <f t="shared" si="1"/>
        <v>6.8839911153598798</v>
      </c>
      <c r="D71">
        <v>0.53969999999999996</v>
      </c>
      <c r="E71">
        <v>104.191</v>
      </c>
      <c r="F71">
        <v>1.1054999999999999</v>
      </c>
      <c r="G71">
        <v>21250000</v>
      </c>
      <c r="H71">
        <v>-0.5</v>
      </c>
      <c r="I71">
        <v>-0.86602540378443904</v>
      </c>
      <c r="J71">
        <v>8.0550976672960299</v>
      </c>
      <c r="K71">
        <v>6.8839911153598798</v>
      </c>
    </row>
    <row r="72" spans="1:11" x14ac:dyDescent="0.2">
      <c r="A72" s="1">
        <v>42583</v>
      </c>
      <c r="B72" s="3">
        <v>6.09324511463302</v>
      </c>
      <c r="C72" s="3">
        <f t="shared" si="1"/>
        <v>6.3730176830912004</v>
      </c>
      <c r="D72">
        <v>0.48399999999999999</v>
      </c>
      <c r="E72">
        <v>101.2383</v>
      </c>
      <c r="F72">
        <v>1.1207</v>
      </c>
      <c r="G72">
        <v>14667808.5</v>
      </c>
      <c r="H72">
        <v>-0.86602540378443804</v>
      </c>
      <c r="I72">
        <v>-0.5</v>
      </c>
      <c r="J72">
        <v>6.3605995692177899</v>
      </c>
      <c r="K72">
        <v>6.3730176830912004</v>
      </c>
    </row>
    <row r="73" spans="1:11" x14ac:dyDescent="0.2">
      <c r="A73" s="1">
        <v>42614</v>
      </c>
      <c r="B73" s="3">
        <v>6.1260299054012801</v>
      </c>
      <c r="C73" s="3">
        <f t="shared" si="1"/>
        <v>7.0173985262066303</v>
      </c>
      <c r="D73">
        <v>0.32200000000000001</v>
      </c>
      <c r="E73">
        <v>101.7843</v>
      </c>
      <c r="F73">
        <v>1.1217999999999999</v>
      </c>
      <c r="G73">
        <v>7917186.7999999998</v>
      </c>
      <c r="H73">
        <v>-1</v>
      </c>
      <c r="I73" s="2">
        <v>-1.8369701987210299E-16</v>
      </c>
      <c r="J73">
        <v>6.8328244304305699</v>
      </c>
      <c r="K73">
        <v>7.0173985262066303</v>
      </c>
    </row>
    <row r="74" spans="1:11" x14ac:dyDescent="0.2">
      <c r="A74" s="1">
        <v>42644</v>
      </c>
      <c r="B74" s="3">
        <v>6.2410384121953104</v>
      </c>
      <c r="C74" s="3">
        <f t="shared" si="1"/>
        <v>6.4435175488251497</v>
      </c>
      <c r="D74">
        <v>0.40949999999999998</v>
      </c>
      <c r="E74">
        <v>103.9075</v>
      </c>
      <c r="F74">
        <v>1.1013999999999999</v>
      </c>
      <c r="G74">
        <v>3400000</v>
      </c>
      <c r="H74">
        <v>-0.86602540378443904</v>
      </c>
      <c r="I74">
        <v>0.5</v>
      </c>
      <c r="J74">
        <v>6.7590870601527397</v>
      </c>
      <c r="K74">
        <v>6.4435175488251497</v>
      </c>
    </row>
    <row r="75" spans="1:11" x14ac:dyDescent="0.2">
      <c r="A75" s="1">
        <v>42856</v>
      </c>
      <c r="B75" s="3">
        <v>6.5191827135087497</v>
      </c>
      <c r="C75" s="3">
        <f t="shared" si="1"/>
        <v>6.6250051543172201</v>
      </c>
      <c r="D75">
        <v>0.63780000000000003</v>
      </c>
      <c r="E75">
        <v>112.2436</v>
      </c>
      <c r="F75">
        <v>1.105</v>
      </c>
      <c r="G75">
        <v>4762737.6270000003</v>
      </c>
      <c r="H75">
        <v>0.5</v>
      </c>
      <c r="I75">
        <v>-0.86602540378443904</v>
      </c>
      <c r="J75">
        <v>7.5650790926695999</v>
      </c>
      <c r="K75">
        <v>6.6250051543172201</v>
      </c>
    </row>
    <row r="76" spans="1:11" x14ac:dyDescent="0.2">
      <c r="A76" s="1">
        <v>42887</v>
      </c>
      <c r="B76" s="3">
        <v>6.3482512222640102</v>
      </c>
      <c r="C76" s="3">
        <f t="shared" si="1"/>
        <v>6.0501143212379001</v>
      </c>
      <c r="D76">
        <v>0.72640000000000005</v>
      </c>
      <c r="E76">
        <v>110.9141</v>
      </c>
      <c r="F76">
        <v>1.1233</v>
      </c>
      <c r="G76">
        <v>21006679.18</v>
      </c>
      <c r="H76" s="2">
        <v>1.22464679914735E-16</v>
      </c>
      <c r="I76">
        <v>-1</v>
      </c>
      <c r="J76">
        <v>6.90254465985476</v>
      </c>
      <c r="K76">
        <v>6.0501143212379001</v>
      </c>
    </row>
    <row r="77" spans="1:11" x14ac:dyDescent="0.2">
      <c r="A77" s="1">
        <v>42917</v>
      </c>
      <c r="B77" s="3">
        <v>6.9897557131599699</v>
      </c>
      <c r="C77" s="3">
        <f t="shared" si="1"/>
        <v>7.05491795422168</v>
      </c>
      <c r="D77">
        <v>0.55059999999999998</v>
      </c>
      <c r="E77">
        <v>112.417</v>
      </c>
      <c r="F77">
        <v>1.153</v>
      </c>
      <c r="G77">
        <v>23592605.620000001</v>
      </c>
      <c r="H77">
        <v>-0.5</v>
      </c>
      <c r="I77">
        <v>-0.86602540378443904</v>
      </c>
      <c r="J77">
        <v>8.0025648737733999</v>
      </c>
      <c r="K77">
        <v>7.05491795422168</v>
      </c>
    </row>
    <row r="78" spans="1:11" x14ac:dyDescent="0.2">
      <c r="A78" s="1">
        <v>42948</v>
      </c>
      <c r="B78" s="3">
        <v>7.2493654822335003</v>
      </c>
      <c r="C78" s="3">
        <f t="shared" si="1"/>
        <v>6.6883986724294804</v>
      </c>
      <c r="D78">
        <v>0.39510000000000001</v>
      </c>
      <c r="E78">
        <v>109.827</v>
      </c>
      <c r="F78">
        <v>1.1813</v>
      </c>
      <c r="G78">
        <v>16101994.949999999</v>
      </c>
      <c r="H78">
        <v>-0.86602540378443804</v>
      </c>
      <c r="I78">
        <v>-0.5</v>
      </c>
      <c r="J78">
        <v>5.0600886860089904</v>
      </c>
      <c r="K78">
        <v>6.6883986724294804</v>
      </c>
    </row>
    <row r="79" spans="1:11" x14ac:dyDescent="0.2">
      <c r="A79" s="1">
        <v>42979</v>
      </c>
      <c r="B79" s="3">
        <v>6.7350761462659801</v>
      </c>
      <c r="C79" s="3">
        <f t="shared" si="1"/>
        <v>6.7452703665734299</v>
      </c>
      <c r="D79">
        <v>0.34399999999999997</v>
      </c>
      <c r="E79">
        <v>110.776</v>
      </c>
      <c r="F79">
        <v>1.1913</v>
      </c>
      <c r="G79">
        <v>8653194.5439999998</v>
      </c>
      <c r="H79">
        <v>-1</v>
      </c>
      <c r="I79" s="2">
        <v>-1.8369701987210299E-16</v>
      </c>
      <c r="J79">
        <v>5.1956672492223603</v>
      </c>
      <c r="K79">
        <v>6.7452703665734299</v>
      </c>
    </row>
    <row r="80" spans="1:11" x14ac:dyDescent="0.2">
      <c r="A80" s="1">
        <v>43009</v>
      </c>
      <c r="B80" s="3">
        <v>6.8295391449194902</v>
      </c>
      <c r="C80" s="3">
        <f t="shared" si="1"/>
        <v>6.4718126302241297</v>
      </c>
      <c r="D80">
        <v>0.36480000000000001</v>
      </c>
      <c r="E80">
        <v>112.9148</v>
      </c>
      <c r="F80">
        <v>1.1755</v>
      </c>
      <c r="G80">
        <v>3749737.03</v>
      </c>
      <c r="H80">
        <v>-0.86602540378443904</v>
      </c>
      <c r="I80">
        <v>0.5</v>
      </c>
      <c r="J80">
        <v>5.06049005736506</v>
      </c>
      <c r="K80">
        <v>6.4718126302241297</v>
      </c>
    </row>
    <row r="81" spans="1:11" x14ac:dyDescent="0.2">
      <c r="A81" s="1">
        <v>43040</v>
      </c>
      <c r="B81" s="3">
        <v>6.3180145619666499</v>
      </c>
      <c r="C81" s="3">
        <f t="shared" si="1"/>
        <v>5.8130546592400298</v>
      </c>
      <c r="D81">
        <v>0.57079999999999997</v>
      </c>
      <c r="E81">
        <v>112.819</v>
      </c>
      <c r="F81">
        <v>1.1742999999999999</v>
      </c>
      <c r="G81">
        <v>4780318.915</v>
      </c>
      <c r="H81">
        <v>-0.5</v>
      </c>
      <c r="I81">
        <v>0.86602540378443804</v>
      </c>
      <c r="J81">
        <v>5.9332563820012396</v>
      </c>
      <c r="K81">
        <v>5.8130546592400298</v>
      </c>
    </row>
    <row r="82" spans="1:11" x14ac:dyDescent="0.2">
      <c r="A82" s="1">
        <v>43070</v>
      </c>
      <c r="B82" s="3">
        <v>6.3278252016602696</v>
      </c>
      <c r="C82" s="3">
        <f t="shared" si="1"/>
        <v>6.0046111387278902</v>
      </c>
      <c r="D82">
        <v>0.64610000000000001</v>
      </c>
      <c r="E82">
        <v>112.9405</v>
      </c>
      <c r="F82">
        <v>1.1836</v>
      </c>
      <c r="G82">
        <v>22321811.940000001</v>
      </c>
      <c r="H82" s="2">
        <v>-2.4492935982947099E-16</v>
      </c>
      <c r="I82">
        <v>1</v>
      </c>
      <c r="J82">
        <v>6.61495547445959</v>
      </c>
      <c r="K82">
        <v>6.0046111387278902</v>
      </c>
    </row>
    <row r="83" spans="1:11" x14ac:dyDescent="0.2">
      <c r="A83" s="1">
        <v>43101</v>
      </c>
      <c r="B83" s="3">
        <v>6.9112559337034396</v>
      </c>
      <c r="C83" s="3">
        <f t="shared" si="1"/>
        <v>6.8866318160530202</v>
      </c>
      <c r="D83">
        <v>0.5474</v>
      </c>
      <c r="E83">
        <v>110.871</v>
      </c>
      <c r="F83">
        <v>1.2197</v>
      </c>
      <c r="G83">
        <v>18054805.420000002</v>
      </c>
      <c r="H83">
        <v>0.5</v>
      </c>
      <c r="I83">
        <v>0.86602540378443904</v>
      </c>
      <c r="J83">
        <v>7.2061036796269997</v>
      </c>
      <c r="K83">
        <v>6.8866318160530202</v>
      </c>
    </row>
    <row r="84" spans="1:11" x14ac:dyDescent="0.2">
      <c r="A84" s="1">
        <v>43221</v>
      </c>
      <c r="B84" s="3">
        <v>6.1946214829783903</v>
      </c>
      <c r="C84" s="3">
        <f t="shared" si="1"/>
        <v>6.3310965127925796</v>
      </c>
      <c r="D84">
        <v>0.69779999999999998</v>
      </c>
      <c r="E84">
        <v>109.68819999999999</v>
      </c>
      <c r="F84">
        <v>1.1822999999999999</v>
      </c>
      <c r="G84">
        <v>5309009.5310000004</v>
      </c>
      <c r="H84">
        <v>0.5</v>
      </c>
      <c r="I84">
        <v>-0.86602540378443904</v>
      </c>
      <c r="J84">
        <v>6.8970862662892101</v>
      </c>
      <c r="K84">
        <v>6.3310965127925796</v>
      </c>
    </row>
    <row r="85" spans="1:11" x14ac:dyDescent="0.2">
      <c r="A85" s="1">
        <v>43252</v>
      </c>
      <c r="B85" s="3">
        <v>6.0266666666666699</v>
      </c>
      <c r="C85" s="3">
        <f t="shared" si="1"/>
        <v>6.0602437285247097</v>
      </c>
      <c r="D85">
        <v>0.71750000000000003</v>
      </c>
      <c r="E85">
        <v>110.0638</v>
      </c>
      <c r="F85">
        <v>1.1678999999999999</v>
      </c>
      <c r="G85">
        <v>23422130.239999998</v>
      </c>
      <c r="H85" s="2">
        <v>1.22464679914735E-16</v>
      </c>
      <c r="I85">
        <v>-1</v>
      </c>
      <c r="J85">
        <v>6.3410468842182199</v>
      </c>
      <c r="K85">
        <v>6.0602437285247097</v>
      </c>
    </row>
    <row r="86" spans="1:11" x14ac:dyDescent="0.2">
      <c r="A86" s="1">
        <v>43282</v>
      </c>
      <c r="B86" s="3">
        <v>7.1118556308535696</v>
      </c>
      <c r="C86" s="3">
        <f t="shared" si="1"/>
        <v>7.3406357492591203</v>
      </c>
      <c r="D86">
        <v>0.42220000000000002</v>
      </c>
      <c r="E86">
        <v>111.521</v>
      </c>
      <c r="F86">
        <v>1.1685000000000001</v>
      </c>
      <c r="G86">
        <v>26312095.370000001</v>
      </c>
      <c r="H86">
        <v>-0.5</v>
      </c>
      <c r="I86">
        <v>-0.86602540378443904</v>
      </c>
      <c r="J86">
        <v>6.6939131325721499</v>
      </c>
      <c r="K86">
        <v>7.3406357492591203</v>
      </c>
    </row>
    <row r="87" spans="1:11" x14ac:dyDescent="0.2">
      <c r="A87" s="1">
        <v>43313</v>
      </c>
      <c r="B87" s="3">
        <v>7.6752031896948303</v>
      </c>
      <c r="C87" s="3">
        <f t="shared" si="1"/>
        <v>7.1959864470660104</v>
      </c>
      <c r="D87">
        <v>0.2868</v>
      </c>
      <c r="E87">
        <v>110.9965</v>
      </c>
      <c r="F87">
        <v>1.1547000000000001</v>
      </c>
      <c r="G87">
        <v>17962558</v>
      </c>
      <c r="H87">
        <v>-0.86602540378443804</v>
      </c>
      <c r="I87">
        <v>-0.5</v>
      </c>
      <c r="J87">
        <v>5.2086606205517496</v>
      </c>
      <c r="K87">
        <v>7.1959864470660104</v>
      </c>
    </row>
    <row r="88" spans="1:11" x14ac:dyDescent="0.2">
      <c r="A88" s="1">
        <v>43344</v>
      </c>
      <c r="B88" s="3">
        <v>8.0481816786865092</v>
      </c>
      <c r="C88" s="3">
        <f t="shared" si="1"/>
        <v>7.5269165163138103</v>
      </c>
      <c r="D88">
        <v>0.1608</v>
      </c>
      <c r="E88">
        <v>112.09739999999999</v>
      </c>
      <c r="F88">
        <v>1.1667000000000001</v>
      </c>
      <c r="G88">
        <v>9655447.5979999993</v>
      </c>
      <c r="H88">
        <v>-1</v>
      </c>
      <c r="I88" s="2">
        <v>-1.8369701987210299E-16</v>
      </c>
      <c r="J88">
        <v>5.08499695789643</v>
      </c>
      <c r="K88">
        <v>7.5269165163138103</v>
      </c>
    </row>
    <row r="89" spans="1:11" x14ac:dyDescent="0.2">
      <c r="A89" s="1">
        <v>43891</v>
      </c>
      <c r="B89" s="3">
        <v>6.7908309455587403</v>
      </c>
      <c r="C89" s="3">
        <f t="shared" si="1"/>
        <v>6.0547914111913599</v>
      </c>
      <c r="D89">
        <v>0.53390000000000004</v>
      </c>
      <c r="E89">
        <v>107.6673</v>
      </c>
      <c r="F89">
        <v>1.1046</v>
      </c>
      <c r="G89">
        <v>8757788.4680000003</v>
      </c>
      <c r="H89">
        <v>1</v>
      </c>
      <c r="I89" s="2">
        <v>6.1232339957367697E-17</v>
      </c>
      <c r="J89">
        <v>3.9481887870435899</v>
      </c>
      <c r="K89">
        <v>6.0547914111913599</v>
      </c>
    </row>
    <row r="90" spans="1:11" x14ac:dyDescent="0.2">
      <c r="A90" s="1">
        <v>43922</v>
      </c>
      <c r="B90" s="3">
        <v>6.0079726651480598</v>
      </c>
      <c r="C90" s="3">
        <f t="shared" si="1"/>
        <v>6.5490939354016602</v>
      </c>
      <c r="D90">
        <v>0.4234</v>
      </c>
      <c r="E90">
        <v>107.73860000000001</v>
      </c>
      <c r="F90">
        <v>1.0871</v>
      </c>
      <c r="G90">
        <v>3782863.2540000002</v>
      </c>
      <c r="H90">
        <v>0.86602540378443904</v>
      </c>
      <c r="I90">
        <v>-0.5</v>
      </c>
      <c r="J90">
        <v>3.9234563971475298</v>
      </c>
      <c r="K90">
        <v>6.5490939354016602</v>
      </c>
    </row>
    <row r="91" spans="1:11" x14ac:dyDescent="0.2">
      <c r="A91" s="1">
        <v>44105</v>
      </c>
      <c r="B91" s="3">
        <v>9.2222726584959904</v>
      </c>
      <c r="C91" s="3">
        <f t="shared" si="1"/>
        <v>9.0972800662454905</v>
      </c>
      <c r="D91">
        <v>0.105</v>
      </c>
      <c r="E91">
        <v>105.20950000000001</v>
      </c>
      <c r="F91">
        <v>1.1768000000000001</v>
      </c>
      <c r="G91">
        <v>5252829.0669999998</v>
      </c>
      <c r="H91">
        <v>-0.86602540378443904</v>
      </c>
      <c r="I91">
        <v>0.5</v>
      </c>
      <c r="J91">
        <v>10.4245565643684</v>
      </c>
      <c r="K91">
        <v>9.0972800662454905</v>
      </c>
    </row>
    <row r="92" spans="1:11" x14ac:dyDescent="0.2">
      <c r="A92" s="1">
        <v>44136</v>
      </c>
      <c r="B92" s="3">
        <v>7.0986001682857802</v>
      </c>
      <c r="C92" s="3">
        <f t="shared" si="1"/>
        <v>7.19818591896823</v>
      </c>
      <c r="D92">
        <v>0.31469999999999998</v>
      </c>
      <c r="E92">
        <v>104.4061</v>
      </c>
      <c r="F92">
        <v>1.1826000000000001</v>
      </c>
      <c r="G92">
        <v>6700594.5839999998</v>
      </c>
      <c r="H92">
        <v>-0.5</v>
      </c>
      <c r="I92">
        <v>0.86602540378443804</v>
      </c>
      <c r="J92">
        <v>6.8511177720556802</v>
      </c>
      <c r="K92">
        <v>7.19818591896823</v>
      </c>
    </row>
    <row r="93" spans="1:11" x14ac:dyDescent="0.2">
      <c r="A93" s="1">
        <v>44166</v>
      </c>
      <c r="B93" s="3">
        <v>7.3151690217815597</v>
      </c>
      <c r="C93" s="3">
        <f t="shared" si="1"/>
        <v>7.0511746409675604</v>
      </c>
      <c r="D93">
        <v>0.54359999999999997</v>
      </c>
      <c r="E93">
        <v>103.79519999999999</v>
      </c>
      <c r="F93">
        <v>1.2168000000000001</v>
      </c>
      <c r="G93">
        <v>31307318.59</v>
      </c>
      <c r="H93" s="2">
        <v>-2.4492935982947099E-16</v>
      </c>
      <c r="I93">
        <v>1</v>
      </c>
      <c r="J93">
        <v>8.4445744479849996</v>
      </c>
      <c r="K93">
        <v>7.0511746409675604</v>
      </c>
    </row>
    <row r="94" spans="1:11" x14ac:dyDescent="0.2">
      <c r="A94" s="1">
        <v>44197</v>
      </c>
      <c r="B94" s="3">
        <v>7.3948919449901798</v>
      </c>
      <c r="C94" s="3">
        <f t="shared" si="1"/>
        <v>8.2636498612768907</v>
      </c>
      <c r="D94">
        <v>0.38219999999999998</v>
      </c>
      <c r="E94">
        <v>103.78830000000001</v>
      </c>
      <c r="F94">
        <v>1.2178</v>
      </c>
      <c r="G94">
        <v>25122699.039999999</v>
      </c>
      <c r="H94">
        <v>0.5</v>
      </c>
      <c r="I94">
        <v>0.86602540378443904</v>
      </c>
      <c r="J94">
        <v>9.4748774133079596</v>
      </c>
      <c r="K94">
        <v>8.2636498612768907</v>
      </c>
    </row>
    <row r="95" spans="1:11" x14ac:dyDescent="0.2">
      <c r="A95" s="1">
        <v>44256</v>
      </c>
      <c r="B95" s="3">
        <v>10.040576020367601</v>
      </c>
      <c r="C95" s="3">
        <f t="shared" si="1"/>
        <v>10.4765008540452</v>
      </c>
      <c r="D95">
        <v>0.30819999999999997</v>
      </c>
      <c r="E95">
        <v>108.6991</v>
      </c>
      <c r="F95">
        <v>1.1901999999999999</v>
      </c>
      <c r="G95">
        <v>9582006.9140000008</v>
      </c>
      <c r="H95">
        <v>1</v>
      </c>
      <c r="I95" s="2">
        <v>6.1232339957367697E-17</v>
      </c>
      <c r="J95">
        <v>15.238331311024901</v>
      </c>
      <c r="K95">
        <v>10.4765008540452</v>
      </c>
    </row>
    <row r="96" spans="1:11" x14ac:dyDescent="0.2">
      <c r="A96" s="1">
        <v>44287</v>
      </c>
      <c r="B96" s="3">
        <v>9.8047062590043197</v>
      </c>
      <c r="C96" s="3">
        <f t="shared" si="1"/>
        <v>9.2171121849861102</v>
      </c>
      <c r="D96">
        <v>0.3705</v>
      </c>
      <c r="E96">
        <v>109.0445</v>
      </c>
      <c r="F96">
        <v>1.1964999999999999</v>
      </c>
      <c r="G96">
        <v>4104261.9610000001</v>
      </c>
      <c r="H96">
        <v>0.86602540378443904</v>
      </c>
      <c r="I96">
        <v>-0.5</v>
      </c>
      <c r="J96">
        <v>11.580068681063899</v>
      </c>
      <c r="K96">
        <v>9.2171121849861102</v>
      </c>
    </row>
    <row r="97" spans="1:11" x14ac:dyDescent="0.2">
      <c r="A97" s="1">
        <v>44317</v>
      </c>
      <c r="B97" s="3">
        <v>8.01649484536083</v>
      </c>
      <c r="C97" s="3">
        <f t="shared" si="1"/>
        <v>7.5842556710870896</v>
      </c>
      <c r="D97">
        <v>0.60489999999999999</v>
      </c>
      <c r="E97">
        <v>109.11199999999999</v>
      </c>
      <c r="F97">
        <v>1.2145999999999999</v>
      </c>
      <c r="G97">
        <v>7155294.915</v>
      </c>
      <c r="H97">
        <v>0.5</v>
      </c>
      <c r="I97">
        <v>-0.86602540378443904</v>
      </c>
      <c r="J97">
        <v>9.5232592910213896</v>
      </c>
      <c r="K97">
        <v>7.5842556710870896</v>
      </c>
    </row>
    <row r="98" spans="1:11" x14ac:dyDescent="0.2">
      <c r="A98" s="1">
        <v>44348</v>
      </c>
      <c r="B98" s="3">
        <v>8.2487725040916509</v>
      </c>
      <c r="C98" s="3">
        <f t="shared" si="1"/>
        <v>8.1023032449559693</v>
      </c>
      <c r="D98">
        <v>0.53480000000000005</v>
      </c>
      <c r="E98">
        <v>110.1073</v>
      </c>
      <c r="F98">
        <v>1.2048000000000001</v>
      </c>
      <c r="G98">
        <v>31315132.190000001</v>
      </c>
      <c r="H98" s="2">
        <v>1.22464679914735E-16</v>
      </c>
      <c r="I98">
        <v>-1</v>
      </c>
      <c r="J98">
        <v>10.035572169751299</v>
      </c>
      <c r="K98">
        <v>8.1023032449559693</v>
      </c>
    </row>
    <row r="99" spans="1:11" x14ac:dyDescent="0.2">
      <c r="A99" s="1">
        <v>44470</v>
      </c>
      <c r="B99" s="3">
        <v>9.2649187711114696</v>
      </c>
      <c r="C99" s="3">
        <f t="shared" si="1"/>
        <v>9.4020774812370593</v>
      </c>
      <c r="D99">
        <v>0.156</v>
      </c>
      <c r="E99">
        <v>113.1215</v>
      </c>
      <c r="F99">
        <v>1.1599999999999999</v>
      </c>
      <c r="G99">
        <v>5417564.4689999996</v>
      </c>
      <c r="H99">
        <v>-0.86602540378443904</v>
      </c>
      <c r="I99">
        <v>0.5</v>
      </c>
      <c r="J99">
        <v>12.1900408182888</v>
      </c>
      <c r="K99">
        <v>9.4020774812370593</v>
      </c>
    </row>
    <row r="100" spans="1:11" x14ac:dyDescent="0.2">
      <c r="A100" s="1">
        <v>44562</v>
      </c>
      <c r="B100" s="3">
        <v>9.7924259229915993</v>
      </c>
      <c r="C100" s="3">
        <f t="shared" si="1"/>
        <v>8.3774824194126598</v>
      </c>
      <c r="D100">
        <v>0.29459999999999997</v>
      </c>
      <c r="E100">
        <v>114.82550000000001</v>
      </c>
      <c r="F100">
        <v>1.1316999999999999</v>
      </c>
      <c r="G100">
        <v>25474328.469999999</v>
      </c>
      <c r="H100">
        <v>0.5</v>
      </c>
      <c r="I100">
        <v>0.86602540378443904</v>
      </c>
      <c r="J100">
        <v>8.7334361380333707</v>
      </c>
      <c r="K100">
        <v>8.3774824194126598</v>
      </c>
    </row>
    <row r="101" spans="1:11" x14ac:dyDescent="0.2">
      <c r="A101" s="1">
        <v>44593</v>
      </c>
      <c r="B101" s="3">
        <v>9.9284084651089604</v>
      </c>
      <c r="C101" s="3">
        <f t="shared" si="1"/>
        <v>8.45213314718786</v>
      </c>
      <c r="D101">
        <v>0.42909999999999998</v>
      </c>
      <c r="E101">
        <v>115.27630000000001</v>
      </c>
      <c r="F101">
        <v>1.1349</v>
      </c>
      <c r="G101">
        <v>18409406.469999999</v>
      </c>
      <c r="H101">
        <v>0.86602540378443904</v>
      </c>
      <c r="I101">
        <v>0.5</v>
      </c>
      <c r="J101">
        <v>10.5693489065475</v>
      </c>
      <c r="K101">
        <v>8.45213314718786</v>
      </c>
    </row>
    <row r="102" spans="1:11" x14ac:dyDescent="0.2">
      <c r="A102" s="1">
        <v>44621</v>
      </c>
      <c r="B102" s="3">
        <v>9.0363349131121602</v>
      </c>
      <c r="C102" s="3">
        <f t="shared" si="1"/>
        <v>8.7103629727614393</v>
      </c>
      <c r="D102">
        <v>0.50919999999999999</v>
      </c>
      <c r="E102">
        <v>118.5774</v>
      </c>
      <c r="F102">
        <v>1.1019000000000001</v>
      </c>
      <c r="G102">
        <v>9716245.4210000001</v>
      </c>
      <c r="H102">
        <v>1</v>
      </c>
      <c r="I102" s="2">
        <v>6.1232339957367697E-17</v>
      </c>
      <c r="J102">
        <v>12.625471947446499</v>
      </c>
      <c r="K102">
        <v>8.7103629727614393</v>
      </c>
    </row>
    <row r="103" spans="1:11" x14ac:dyDescent="0.2">
      <c r="A103" s="1">
        <v>44774</v>
      </c>
      <c r="B103" s="3">
        <v>8.3068824030347592</v>
      </c>
      <c r="C103" s="3">
        <f t="shared" si="1"/>
        <v>8.4453854402761994</v>
      </c>
      <c r="D103">
        <v>0.18029999999999999</v>
      </c>
      <c r="E103">
        <v>135.2835</v>
      </c>
      <c r="F103">
        <v>1.0128999999999999</v>
      </c>
      <c r="G103">
        <v>23963756.309999999</v>
      </c>
      <c r="H103">
        <v>-0.86602540378443804</v>
      </c>
      <c r="I103">
        <v>-0.5</v>
      </c>
      <c r="J103">
        <v>8.0006070682717407</v>
      </c>
      <c r="K103">
        <v>8.4453854402761994</v>
      </c>
    </row>
    <row r="104" spans="1:11" x14ac:dyDescent="0.2">
      <c r="A104" s="1">
        <v>44805</v>
      </c>
      <c r="B104" s="3">
        <v>8.2839793087937608</v>
      </c>
      <c r="C104" s="3">
        <f t="shared" si="1"/>
        <v>8.2033596917174698</v>
      </c>
      <c r="D104">
        <v>0.16239999999999999</v>
      </c>
      <c r="E104">
        <v>143.2843</v>
      </c>
      <c r="F104">
        <v>0.9899</v>
      </c>
      <c r="G104">
        <v>12777656.93</v>
      </c>
      <c r="H104">
        <v>-1</v>
      </c>
      <c r="I104" s="2">
        <v>-1.8369701987210299E-16</v>
      </c>
      <c r="J104">
        <v>7.7474954270084799</v>
      </c>
      <c r="K104">
        <v>8.2033596917174698</v>
      </c>
    </row>
    <row r="105" spans="1:11" x14ac:dyDescent="0.2">
      <c r="A105" s="1">
        <v>44835</v>
      </c>
      <c r="B105" s="3">
        <v>7.2174738841405501</v>
      </c>
      <c r="C105" s="3">
        <f t="shared" si="1"/>
        <v>8.4209832586043003</v>
      </c>
      <c r="D105">
        <v>0.1694</v>
      </c>
      <c r="E105">
        <v>147.0515</v>
      </c>
      <c r="F105">
        <v>0.98529999999999995</v>
      </c>
      <c r="G105">
        <v>5493709.301</v>
      </c>
      <c r="H105">
        <v>-0.86602540378443904</v>
      </c>
      <c r="I105">
        <v>0.5</v>
      </c>
      <c r="J105">
        <v>9.0592891957805008</v>
      </c>
      <c r="K105">
        <v>8.4209832586043003</v>
      </c>
    </row>
    <row r="106" spans="1:11" x14ac:dyDescent="0.2">
      <c r="A106" s="1">
        <v>44866</v>
      </c>
      <c r="B106" s="3">
        <v>6.67310693319462</v>
      </c>
      <c r="C106" s="3">
        <f t="shared" si="1"/>
        <v>8.0724765066483002</v>
      </c>
      <c r="D106">
        <v>0.32950000000000002</v>
      </c>
      <c r="E106">
        <v>142.44499999999999</v>
      </c>
      <c r="F106">
        <v>1.0192000000000001</v>
      </c>
      <c r="G106">
        <v>6948683.7889999999</v>
      </c>
      <c r="H106">
        <v>-0.5</v>
      </c>
      <c r="I106">
        <v>0.86602540378443804</v>
      </c>
      <c r="J106">
        <v>10.1370194531577</v>
      </c>
      <c r="K106">
        <v>8.0724765066483002</v>
      </c>
    </row>
    <row r="107" spans="1:11" x14ac:dyDescent="0.2">
      <c r="A107" s="1">
        <v>44896</v>
      </c>
      <c r="B107" s="3">
        <v>7.1843945528155997</v>
      </c>
      <c r="C107" s="3">
        <f t="shared" si="1"/>
        <v>7.7821584269479898</v>
      </c>
      <c r="D107">
        <v>0.4284</v>
      </c>
      <c r="E107">
        <v>134.91480000000001</v>
      </c>
      <c r="F107">
        <v>1.0590999999999999</v>
      </c>
      <c r="G107">
        <v>32191913.039999999</v>
      </c>
      <c r="H107" s="2">
        <v>-2.4492935982947099E-16</v>
      </c>
      <c r="I107">
        <v>1</v>
      </c>
      <c r="J107">
        <v>9.2605007768657295</v>
      </c>
      <c r="K107">
        <v>7.7821584269479898</v>
      </c>
    </row>
    <row r="108" spans="1:11" x14ac:dyDescent="0.2">
      <c r="A108" s="1">
        <v>44927</v>
      </c>
      <c r="B108" s="3">
        <v>7.6665176575771099</v>
      </c>
      <c r="C108" s="3">
        <f t="shared" si="1"/>
        <v>9.5447922581915297</v>
      </c>
      <c r="D108">
        <v>0.32969999999999999</v>
      </c>
      <c r="E108">
        <v>130.44749999999999</v>
      </c>
      <c r="F108">
        <v>1.0777000000000001</v>
      </c>
      <c r="G108">
        <v>25832878.5</v>
      </c>
      <c r="H108">
        <v>0.5</v>
      </c>
      <c r="I108">
        <v>0.86602540378443904</v>
      </c>
      <c r="J108">
        <v>13.3459488353575</v>
      </c>
      <c r="K108">
        <v>9.5447922581915297</v>
      </c>
    </row>
    <row r="109" spans="1:11" x14ac:dyDescent="0.2">
      <c r="A109" s="1">
        <v>44958</v>
      </c>
      <c r="B109" s="3">
        <v>9.3875427382191194</v>
      </c>
      <c r="C109" s="3">
        <f t="shared" si="1"/>
        <v>10.453703898604299</v>
      </c>
      <c r="D109">
        <v>0.32519999999999999</v>
      </c>
      <c r="E109">
        <v>133.0463</v>
      </c>
      <c r="F109">
        <v>1.0702</v>
      </c>
      <c r="G109">
        <v>18668639.739999998</v>
      </c>
      <c r="H109">
        <v>0.86602540378443904</v>
      </c>
      <c r="I109">
        <v>0.5</v>
      </c>
      <c r="J109">
        <v>15.874630030855</v>
      </c>
      <c r="K109">
        <v>10.453703898604299</v>
      </c>
    </row>
    <row r="110" spans="1:11" x14ac:dyDescent="0.2">
      <c r="A110" s="1">
        <v>45413</v>
      </c>
      <c r="B110" s="3">
        <v>7.1412892368478804</v>
      </c>
      <c r="C110" s="3">
        <f t="shared" si="1"/>
        <v>7.4170610528377203</v>
      </c>
      <c r="D110">
        <v>0.63280000000000003</v>
      </c>
      <c r="E110">
        <v>155.8691</v>
      </c>
      <c r="F110">
        <v>1.081</v>
      </c>
      <c r="G110">
        <v>7462292.9249999998</v>
      </c>
      <c r="H110">
        <v>0.5</v>
      </c>
      <c r="I110">
        <v>-0.86602540378443904</v>
      </c>
      <c r="J110">
        <v>8.6504247221036596</v>
      </c>
      <c r="K110">
        <v>7.4170610528377203</v>
      </c>
    </row>
    <row r="111" spans="1:11" x14ac:dyDescent="0.2">
      <c r="A111" s="1">
        <v>45444</v>
      </c>
      <c r="B111" s="3">
        <v>6.2604888726742098</v>
      </c>
      <c r="C111" s="3">
        <f t="shared" si="1"/>
        <v>6.9974872801458003</v>
      </c>
      <c r="D111">
        <v>0.62970000000000004</v>
      </c>
      <c r="E111">
        <v>157.86000000000001</v>
      </c>
      <c r="F111">
        <v>1.0763</v>
      </c>
      <c r="G111">
        <v>32659349.59</v>
      </c>
      <c r="H111" s="2">
        <v>1.22464679914735E-16</v>
      </c>
      <c r="I111">
        <v>-1</v>
      </c>
      <c r="J111">
        <v>6.7865346479955804</v>
      </c>
      <c r="K111">
        <v>6.9974872801458003</v>
      </c>
    </row>
    <row r="112" spans="1:11" x14ac:dyDescent="0.2">
      <c r="A112" s="1">
        <v>45566</v>
      </c>
      <c r="B112" s="3">
        <v>9.4351966271716208</v>
      </c>
      <c r="C112" s="3">
        <f t="shared" si="1"/>
        <v>9.5140624350531908</v>
      </c>
      <c r="D112">
        <v>0.17510000000000001</v>
      </c>
      <c r="E112">
        <v>149.89089999999999</v>
      </c>
      <c r="F112">
        <v>1.0894999999999999</v>
      </c>
      <c r="G112">
        <v>5650561.5080000004</v>
      </c>
      <c r="H112">
        <v>-0.86602540378443904</v>
      </c>
      <c r="I112">
        <v>0.5</v>
      </c>
      <c r="J112">
        <v>12.019346252917501</v>
      </c>
      <c r="K112">
        <v>9.5140624350531908</v>
      </c>
    </row>
    <row r="113" spans="1:11" x14ac:dyDescent="0.2">
      <c r="A113" s="1">
        <v>45597</v>
      </c>
      <c r="B113" s="3">
        <v>9.7974665426179097</v>
      </c>
      <c r="C113" s="3">
        <f t="shared" si="1"/>
        <v>8.1468113799689004</v>
      </c>
      <c r="D113">
        <v>0.40770000000000001</v>
      </c>
      <c r="E113">
        <v>153.71260000000001</v>
      </c>
      <c r="F113">
        <v>1.0621</v>
      </c>
      <c r="G113">
        <v>7147172.2589999996</v>
      </c>
      <c r="H113">
        <v>-0.5</v>
      </c>
      <c r="I113">
        <v>0.86602540378443804</v>
      </c>
      <c r="J113">
        <v>10.8474177008948</v>
      </c>
      <c r="K113">
        <v>8.1468113799689004</v>
      </c>
    </row>
    <row r="114" spans="1:11" x14ac:dyDescent="0.2">
      <c r="A114" s="1">
        <v>45627</v>
      </c>
      <c r="B114" s="3">
        <v>9.4897171334316006</v>
      </c>
      <c r="C114" s="3">
        <f t="shared" si="1"/>
        <v>8.3399532092298596</v>
      </c>
      <c r="D114">
        <v>0.47310000000000002</v>
      </c>
      <c r="E114">
        <v>153.8143</v>
      </c>
      <c r="F114">
        <v>1.0471999999999999</v>
      </c>
      <c r="G114">
        <v>33111912.27</v>
      </c>
      <c r="H114" s="2">
        <v>-2.4492935982947099E-16</v>
      </c>
      <c r="I114">
        <v>1</v>
      </c>
      <c r="J114">
        <v>11.3061417107239</v>
      </c>
      <c r="K114">
        <v>8.3399532092298596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Lobster_Price_Predictions_2025-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Sackton</dc:creator>
  <cp:lastModifiedBy>John Sackton</cp:lastModifiedBy>
  <dcterms:created xsi:type="dcterms:W3CDTF">2025-03-11T21:49:07Z</dcterms:created>
  <dcterms:modified xsi:type="dcterms:W3CDTF">2025-03-11T21:49:07Z</dcterms:modified>
</cp:coreProperties>
</file>